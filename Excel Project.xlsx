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pivotTables/pivotTable5.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pivotTables/pivotTable6.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ml.chartshapes+xml"/>
  <Override PartName="/xl/pivotTables/pivotTable9.xml" ContentType="application/vnd.openxmlformats-officedocument.spreadsheetml.pivotTable+xml"/>
  <Override PartName="/xl/drawings/drawing1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5.xml" ContentType="application/vnd.openxmlformats-officedocument.drawingml.chartshapes+xml"/>
  <Override PartName="/xl/pivotTables/pivotTable10.xml" ContentType="application/vnd.openxmlformats-officedocument.spreadsheetml.pivotTable+xml"/>
  <Override PartName="/xl/drawings/drawing1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7.xml" ContentType="application/vnd.openxmlformats-officedocument.drawingml.chartshapes+xml"/>
  <Override PartName="/xl/drawings/drawing18.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9.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0.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1.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2.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3.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4.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5.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hidePivotFieldList="1" defaultThemeVersion="166925"/>
  <mc:AlternateContent xmlns:mc="http://schemas.openxmlformats.org/markup-compatibility/2006">
    <mc:Choice Requires="x15">
      <x15ac:absPath xmlns:x15ac="http://schemas.microsoft.com/office/spreadsheetml/2010/11/ac" url="C:\Users\008TU ( 866J )\Desktop\Excel\"/>
    </mc:Choice>
  </mc:AlternateContent>
  <xr:revisionPtr revIDLastSave="0" documentId="13_ncr:1_{92CB6A17-066A-45C0-8931-58DFDB1593FA}" xr6:coauthVersionLast="47" xr6:coauthVersionMax="47" xr10:uidLastSave="{00000000-0000-0000-0000-000000000000}"/>
  <bookViews>
    <workbookView xWindow="-110" yWindow="-110" windowWidth="19420" windowHeight="10420" activeTab="3" xr2:uid="{2C7BC341-DECC-4C2D-A1BA-BD12001F312F}"/>
  </bookViews>
  <sheets>
    <sheet name="data" sheetId="7" r:id="rId1"/>
    <sheet name="q" sheetId="9" r:id="rId2"/>
    <sheet name="q1" sheetId="8" r:id="rId3"/>
    <sheet name="q2 dashboard" sheetId="10" r:id="rId4"/>
    <sheet name="q3" sheetId="11" r:id="rId5"/>
    <sheet name="q4" sheetId="14" r:id="rId6"/>
    <sheet name="q5" sheetId="15" r:id="rId7"/>
    <sheet name="q6" sheetId="16" r:id="rId8"/>
    <sheet name="q7" sheetId="17" r:id="rId9"/>
    <sheet name="q8" sheetId="18" r:id="rId10"/>
    <sheet name="q9" sheetId="19" r:id="rId11"/>
    <sheet name="dashboard" sheetId="20" r:id="rId12"/>
  </sheets>
  <definedNames>
    <definedName name="Slicer_Country">#N/A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1" i="10" l="1"/>
  <c r="C5" i="10"/>
  <c r="C6" i="10"/>
  <c r="C4" i="10"/>
  <c r="A3" i="7" l="1"/>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A136" i="7" s="1"/>
  <c r="A137" i="7" s="1"/>
  <c r="A138" i="7" s="1"/>
  <c r="A139" i="7" s="1"/>
  <c r="A140" i="7" s="1"/>
  <c r="A141" i="7" s="1"/>
  <c r="A142" i="7" s="1"/>
  <c r="A143" i="7" s="1"/>
  <c r="A144" i="7" s="1"/>
  <c r="A145" i="7" s="1"/>
  <c r="A146" i="7" s="1"/>
  <c r="A147"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A216" i="7" s="1"/>
  <c r="A217" i="7" s="1"/>
  <c r="A218" i="7" s="1"/>
  <c r="A219" i="7" s="1"/>
  <c r="A220" i="7" s="1"/>
  <c r="A221" i="7" s="1"/>
  <c r="A222" i="7" s="1"/>
  <c r="A223" i="7" s="1"/>
  <c r="A224" i="7" s="1"/>
  <c r="A225" i="7" s="1"/>
  <c r="A226" i="7" s="1"/>
  <c r="A227" i="7" s="1"/>
  <c r="A228" i="7" s="1"/>
  <c r="A229" i="7" s="1"/>
  <c r="A230" i="7" s="1"/>
  <c r="A231" i="7" s="1"/>
  <c r="A232" i="7" s="1"/>
  <c r="A233" i="7" s="1"/>
  <c r="A234" i="7" s="1"/>
  <c r="A235" i="7" s="1"/>
  <c r="A236" i="7" s="1"/>
  <c r="A237" i="7" s="1"/>
  <c r="A238" i="7" s="1"/>
  <c r="A239" i="7" s="1"/>
  <c r="A240" i="7" s="1"/>
  <c r="A241" i="7" s="1"/>
  <c r="A242" i="7" s="1"/>
  <c r="A243" i="7" s="1"/>
  <c r="A244" i="7" s="1"/>
  <c r="A245" i="7" s="1"/>
  <c r="A246" i="7" s="1"/>
  <c r="A247" i="7" s="1"/>
  <c r="A248" i="7" s="1"/>
  <c r="A249" i="7" s="1"/>
  <c r="A250" i="7" s="1"/>
  <c r="A251" i="7" s="1"/>
  <c r="A252" i="7" s="1"/>
  <c r="A253" i="7" s="1"/>
  <c r="A254" i="7" s="1"/>
  <c r="A255" i="7" s="1"/>
  <c r="A256" i="7" s="1"/>
  <c r="A257" i="7" s="1"/>
  <c r="A258" i="7" s="1"/>
  <c r="A259" i="7" s="1"/>
  <c r="A260" i="7" s="1"/>
  <c r="A261" i="7" s="1"/>
  <c r="A262" i="7" s="1"/>
  <c r="A263" i="7" s="1"/>
  <c r="A264" i="7" s="1"/>
  <c r="A265" i="7" s="1"/>
  <c r="A266" i="7" s="1"/>
  <c r="A267" i="7" s="1"/>
  <c r="A268" i="7" s="1"/>
  <c r="A269" i="7" s="1"/>
  <c r="A270" i="7" s="1"/>
  <c r="A271" i="7" s="1"/>
  <c r="A272" i="7" s="1"/>
  <c r="A273" i="7" s="1"/>
  <c r="A274" i="7" s="1"/>
  <c r="A275" i="7" s="1"/>
  <c r="A276" i="7" s="1"/>
  <c r="A277" i="7" s="1"/>
  <c r="A278" i="7" s="1"/>
  <c r="A279" i="7" s="1"/>
  <c r="A280" i="7" s="1"/>
  <c r="A281" i="7" s="1"/>
  <c r="A282" i="7" s="1"/>
  <c r="A283" i="7" s="1"/>
  <c r="A284" i="7" s="1"/>
  <c r="A285" i="7" s="1"/>
  <c r="A286" i="7" s="1"/>
  <c r="A287" i="7" s="1"/>
  <c r="A288" i="7" s="1"/>
  <c r="A289" i="7" s="1"/>
  <c r="A290" i="7" s="1"/>
  <c r="A291" i="7" s="1"/>
  <c r="A292" i="7" s="1"/>
  <c r="A293" i="7" s="1"/>
  <c r="A294" i="7" s="1"/>
  <c r="A295" i="7" s="1"/>
  <c r="A296" i="7" s="1"/>
  <c r="A297" i="7" s="1"/>
  <c r="A298" i="7" s="1"/>
  <c r="A299" i="7" s="1"/>
  <c r="A300" i="7" s="1"/>
  <c r="A301" i="7" s="1"/>
  <c r="A302" i="7" s="1"/>
  <c r="A303" i="7" s="1"/>
  <c r="A304" i="7" s="1"/>
  <c r="A305" i="7" s="1"/>
  <c r="A306" i="7" s="1"/>
  <c r="A307" i="7" s="1"/>
  <c r="A308" i="7" s="1"/>
  <c r="A309" i="7" s="1"/>
  <c r="A310" i="7" s="1"/>
  <c r="A311" i="7" s="1"/>
  <c r="A312" i="7" s="1"/>
  <c r="A313" i="7" s="1"/>
  <c r="A314" i="7" s="1"/>
  <c r="A315" i="7" s="1"/>
  <c r="A316" i="7" s="1"/>
  <c r="A317" i="7" s="1"/>
  <c r="A318" i="7" s="1"/>
  <c r="A319" i="7" s="1"/>
  <c r="A320" i="7" s="1"/>
  <c r="A321" i="7" s="1"/>
  <c r="A322" i="7" s="1"/>
  <c r="A323" i="7" s="1"/>
  <c r="A324" i="7" s="1"/>
  <c r="A325" i="7" s="1"/>
  <c r="A326" i="7" s="1"/>
  <c r="A327" i="7" s="1"/>
  <c r="A328" i="7" s="1"/>
  <c r="A329" i="7" s="1"/>
  <c r="A330" i="7" s="1"/>
  <c r="A331" i="7" s="1"/>
  <c r="A332" i="7" s="1"/>
  <c r="A333" i="7" s="1"/>
  <c r="A334" i="7" s="1"/>
  <c r="A335" i="7" s="1"/>
  <c r="A336" i="7" s="1"/>
  <c r="A337" i="7" s="1"/>
  <c r="A338" i="7" s="1"/>
  <c r="A339" i="7" s="1"/>
  <c r="A340" i="7" s="1"/>
  <c r="A341" i="7" s="1"/>
  <c r="A342" i="7" s="1"/>
  <c r="A343" i="7" s="1"/>
  <c r="A344" i="7" s="1"/>
  <c r="A345" i="7" s="1"/>
  <c r="A346" i="7" s="1"/>
  <c r="A347" i="7" s="1"/>
  <c r="A348" i="7" s="1"/>
  <c r="A349" i="7" s="1"/>
  <c r="A350" i="7" s="1"/>
  <c r="A351" i="7" s="1"/>
  <c r="A352" i="7" s="1"/>
  <c r="A353" i="7" s="1"/>
  <c r="A354" i="7" s="1"/>
  <c r="A355" i="7" s="1"/>
  <c r="A356" i="7" s="1"/>
  <c r="A357" i="7" s="1"/>
  <c r="A358" i="7" s="1"/>
  <c r="A359" i="7" s="1"/>
  <c r="A360" i="7" s="1"/>
  <c r="A361" i="7" s="1"/>
  <c r="A362" i="7" s="1"/>
  <c r="A363" i="7" s="1"/>
  <c r="A364" i="7" s="1"/>
  <c r="A365" i="7" s="1"/>
  <c r="A366" i="7" s="1"/>
  <c r="A367" i="7" s="1"/>
  <c r="A368" i="7" s="1"/>
  <c r="A369" i="7" s="1"/>
  <c r="A370" i="7" s="1"/>
  <c r="A371" i="7" s="1"/>
  <c r="A372" i="7" s="1"/>
  <c r="A373" i="7" s="1"/>
  <c r="A374" i="7" s="1"/>
  <c r="A375" i="7" s="1"/>
  <c r="A376" i="7" s="1"/>
  <c r="A377" i="7" s="1"/>
  <c r="A378" i="7" s="1"/>
  <c r="A379" i="7" s="1"/>
  <c r="A380" i="7" s="1"/>
  <c r="A381" i="7" s="1"/>
  <c r="A382" i="7" s="1"/>
  <c r="A383" i="7" s="1"/>
  <c r="A384" i="7" s="1"/>
  <c r="A385" i="7" s="1"/>
  <c r="A386" i="7" s="1"/>
  <c r="A387" i="7" s="1"/>
  <c r="A388" i="7" s="1"/>
  <c r="A389" i="7" s="1"/>
  <c r="A390" i="7" s="1"/>
  <c r="A391" i="7" s="1"/>
  <c r="A392" i="7" s="1"/>
  <c r="A393" i="7" s="1"/>
  <c r="A394" i="7" s="1"/>
  <c r="A395" i="7" s="1"/>
  <c r="A396" i="7" s="1"/>
  <c r="A397" i="7" s="1"/>
  <c r="A398" i="7" s="1"/>
  <c r="A399" i="7" s="1"/>
  <c r="A400" i="7" s="1"/>
  <c r="A401" i="7" s="1"/>
</calcChain>
</file>

<file path=xl/sharedStrings.xml><?xml version="1.0" encoding="utf-8"?>
<sst xmlns="http://schemas.openxmlformats.org/spreadsheetml/2006/main" count="2946" uniqueCount="589">
  <si>
    <t>Customer Name</t>
  </si>
  <si>
    <t>Claire Gute</t>
  </si>
  <si>
    <t>Darrin Van Huff</t>
  </si>
  <si>
    <t>Sean O'Donnell</t>
  </si>
  <si>
    <t>Brosina Hoffman</t>
  </si>
  <si>
    <t>Andrew Allen</t>
  </si>
  <si>
    <t>Irene Maddox</t>
  </si>
  <si>
    <t>Harold Pawlan</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</si>
  <si>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</si>
  <si>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</si>
  <si>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</si>
  <si>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</si>
  <si>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</si>
  <si>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</si>
  <si>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</si>
  <si>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</si>
  <si>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</si>
  <si>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</si>
  <si>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</si>
  <si>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</si>
  <si>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</si>
  <si>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</si>
  <si>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</si>
  <si>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</si>
  <si>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</si>
  <si>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</si>
  <si>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</si>
  <si>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</si>
  <si>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</si>
  <si>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</si>
  <si>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</si>
  <si>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</si>
  <si>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</si>
  <si>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</si>
  <si>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</si>
  <si>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</si>
  <si>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</si>
  <si>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</si>
  <si>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</si>
  <si>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</si>
  <si>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</si>
  <si>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</si>
  <si>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</si>
  <si>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</si>
  <si>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</si>
  <si>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</si>
  <si>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</si>
  <si>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</si>
  <si>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</si>
  <si>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</si>
  <si>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</si>
  <si>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</si>
  <si>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</si>
  <si>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</si>
  <si>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</si>
  <si>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</si>
  <si>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</si>
  <si>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</si>
  <si>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</si>
  <si>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</si>
  <si>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</si>
  <si>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</si>
  <si>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</si>
  <si>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</si>
  <si>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</si>
  <si>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</si>
  <si>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</si>
  <si>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</si>
  <si>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</si>
  <si>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</si>
  <si>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</si>
  <si>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</si>
  <si>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</si>
  <si>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</si>
  <si>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</si>
  <si>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</si>
  <si>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</si>
  <si>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</si>
  <si>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</si>
  <si>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</si>
  <si>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</si>
  <si>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</si>
  <si>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</si>
  <si>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</si>
  <si>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</si>
  <si>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</si>
  <si>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</si>
  <si>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</si>
  <si>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</si>
  <si>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</si>
  <si>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</si>
  <si>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</si>
  <si>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</si>
  <si>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</si>
  <si>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</si>
  <si>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</si>
  <si>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</si>
  <si>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</si>
  <si>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</si>
  <si>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</si>
  <si>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</si>
  <si>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</si>
  <si>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</si>
  <si>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</si>
  <si>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</si>
  <si>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</si>
  <si>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</si>
  <si>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</si>
  <si>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</si>
  <si>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</si>
  <si>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</si>
  <si>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</si>
  <si>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</si>
  <si>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</si>
  <si>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</si>
  <si>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</si>
  <si>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</si>
  <si>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</si>
  <si>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</si>
  <si>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</si>
  <si>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</si>
  <si>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</si>
  <si>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</si>
  <si>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</si>
  <si>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</si>
  <si>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</si>
  <si>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</si>
  <si>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</si>
  <si>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</si>
  <si>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</si>
  <si>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</si>
  <si>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</si>
  <si>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</si>
  <si>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</si>
  <si>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</si>
  <si>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</si>
  <si>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</si>
  <si>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</si>
  <si>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</si>
  <si>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</si>
  <si>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</si>
  <si>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</si>
  <si>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</si>
  <si>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</si>
  <si>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</si>
  <si>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</si>
  <si>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</si>
  <si>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</si>
  <si>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</si>
  <si>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</si>
  <si>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</si>
  <si>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</si>
  <si>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</si>
  <si>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</si>
  <si>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</si>
  <si>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</si>
  <si>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</si>
  <si>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</si>
  <si>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</si>
  <si>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</si>
  <si>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</si>
  <si>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</si>
  <si>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</si>
  <si>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</si>
  <si>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</si>
  <si>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</si>
  <si>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</si>
  <si>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</si>
  <si>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</si>
  <si>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</si>
  <si>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</si>
  <si>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</si>
  <si>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</si>
  <si>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</si>
  <si>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</si>
  <si>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</si>
  <si>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</si>
  <si>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</si>
  <si>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</si>
  <si>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</si>
  <si>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</si>
  <si>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</si>
  <si>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</si>
  <si>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</si>
  <si>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</si>
  <si>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</si>
  <si>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</si>
  <si>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</si>
  <si>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</si>
  <si>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</si>
  <si>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</si>
  <si>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</si>
  <si>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</si>
  <si>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</si>
  <si>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</si>
  <si>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</si>
  <si>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</si>
  <si>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</si>
  <si>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</si>
  <si>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</si>
  <si>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Adrian Barton</t>
  </si>
  <si>
    <t>Michelle Arnett</t>
  </si>
  <si>
    <t>Erica Bern</t>
  </si>
  <si>
    <t>Neola Schneider</t>
  </si>
  <si>
    <t>Jason Klamczynski</t>
  </si>
  <si>
    <t>Patrick Ryan</t>
  </si>
  <si>
    <t>Aaron Smayling</t>
  </si>
  <si>
    <t>Dan Campbell</t>
  </si>
  <si>
    <t>Michael Dominguez</t>
  </si>
  <si>
    <t>Rick Huthwaite</t>
  </si>
  <si>
    <t>Thomas Boland</t>
  </si>
  <si>
    <t>Eric Barreto</t>
  </si>
  <si>
    <t>Bryan Mills</t>
  </si>
  <si>
    <t>Bradley Talbott</t>
  </si>
  <si>
    <t>Fred Wasserman</t>
  </si>
  <si>
    <t>Rick Duston</t>
  </si>
  <si>
    <t>Theone Pippenger</t>
  </si>
  <si>
    <t>Quincy Jones</t>
  </si>
  <si>
    <t>Khloe Miller</t>
  </si>
  <si>
    <t>Ionia McGrath</t>
  </si>
  <si>
    <t>Marina Lichtenstein</t>
  </si>
  <si>
    <t>Gary Hansen</t>
  </si>
  <si>
    <t>Maureen Gnade</t>
  </si>
  <si>
    <t>Sanjit Jacobs</t>
  </si>
  <si>
    <t>Laurel Beltran</t>
  </si>
  <si>
    <t>Sarah Brown</t>
  </si>
  <si>
    <t>Corey Catlett</t>
  </si>
  <si>
    <t>Sean Miller</t>
  </si>
  <si>
    <t>Greg Matthias</t>
  </si>
  <si>
    <t>Nick Radford</t>
  </si>
  <si>
    <t>Edward Hooks</t>
  </si>
  <si>
    <t>Brian Thompson</t>
  </si>
  <si>
    <t>Scot Coram</t>
  </si>
  <si>
    <t>Roy Skaria</t>
  </si>
  <si>
    <t>Arianne Irving</t>
  </si>
  <si>
    <t>Denny Joy</t>
  </si>
  <si>
    <t>Barbara Fisher</t>
  </si>
  <si>
    <t>Tiffany House</t>
  </si>
  <si>
    <t>Jason Gross</t>
  </si>
  <si>
    <t>Arthur Wiediger</t>
  </si>
  <si>
    <t>Joni Wasserman</t>
  </si>
  <si>
    <t>Michelle Huthwaite</t>
  </si>
  <si>
    <t>George Zrebassa</t>
  </si>
  <si>
    <t>Tracy Collins</t>
  </si>
  <si>
    <t>Resi Pölking</t>
  </si>
  <si>
    <t>Lena Radford</t>
  </si>
  <si>
    <t>Magdelene Morse</t>
  </si>
  <si>
    <t>Nona Balk</t>
  </si>
  <si>
    <t>Darrin Sayre</t>
  </si>
  <si>
    <t>Vicky Freymann</t>
  </si>
  <si>
    <t>Scott Williamson</t>
  </si>
  <si>
    <t>Pauline Webber</t>
  </si>
  <si>
    <t>Ken Dana</t>
  </si>
  <si>
    <t>Doug O'Connell</t>
  </si>
  <si>
    <t>Guy Armstrong</t>
  </si>
  <si>
    <t>Stephanie Ulpright</t>
  </si>
  <si>
    <t>Fred McMath</t>
  </si>
  <si>
    <t>Maribeth Yedwab</t>
  </si>
  <si>
    <t>Carlos Soltero</t>
  </si>
  <si>
    <t>Harry Marie</t>
  </si>
  <si>
    <t>Fred Chung</t>
  </si>
  <si>
    <t>Cathy Prescott</t>
  </si>
  <si>
    <t>Sean Christensen</t>
  </si>
  <si>
    <t>Heather Jas</t>
  </si>
  <si>
    <t>Evan Henry</t>
  </si>
  <si>
    <t>Luke Weiss</t>
  </si>
  <si>
    <t>John Huston</t>
  </si>
  <si>
    <t>Deborah Brumfield</t>
  </si>
  <si>
    <t>Trudy Brown</t>
  </si>
  <si>
    <t>Thomas Thornton</t>
  </si>
  <si>
    <t>Roland Schwarz</t>
  </si>
  <si>
    <t>Marc Harrigan</t>
  </si>
  <si>
    <t>Christina Anderson</t>
  </si>
  <si>
    <t>Don Weiss</t>
  </si>
  <si>
    <t>Justin Hirsh</t>
  </si>
  <si>
    <t>Anthony Rawles</t>
  </si>
  <si>
    <t>Sally Matthias</t>
  </si>
  <si>
    <t>Duane Benoit</t>
  </si>
  <si>
    <t>Phillip Flathmann</t>
  </si>
  <si>
    <t>Ashley Jarboe</t>
  </si>
  <si>
    <t>Eugene Barchas</t>
  </si>
  <si>
    <t>Shahid Shariari</t>
  </si>
  <si>
    <t>Craig Yedwab</t>
  </si>
  <si>
    <t>Rachel Payne</t>
  </si>
  <si>
    <t>Dennis Bolton</t>
  </si>
  <si>
    <t>Christine Kargatis</t>
  </si>
  <si>
    <t>Dave Poirier</t>
  </si>
  <si>
    <t>Jennifer Ferguson</t>
  </si>
  <si>
    <t>Katherine Nockton</t>
  </si>
  <si>
    <t>Victoria Pisteka</t>
  </si>
  <si>
    <t>Gene McClure</t>
  </si>
  <si>
    <t>Sarah Foster</t>
  </si>
  <si>
    <t>Raymond Messe</t>
  </si>
  <si>
    <t>Katherine Murray</t>
  </si>
  <si>
    <t>Frank Hawley</t>
  </si>
  <si>
    <t>Deirdre Greer</t>
  </si>
  <si>
    <t>Mitch Webber</t>
  </si>
  <si>
    <t>Sung Chung</t>
  </si>
  <si>
    <t>Bradley Drucker</t>
  </si>
  <si>
    <t>Liz Pelletier</t>
  </si>
  <si>
    <t>Nora Preis</t>
  </si>
  <si>
    <t>William Brown</t>
  </si>
  <si>
    <t>Matt Hagelstein</t>
  </si>
  <si>
    <t>John Castell</t>
  </si>
  <si>
    <t>Ross DeVincentis</t>
  </si>
  <si>
    <t>Steve Chapman</t>
  </si>
  <si>
    <t>Nick Crebassa</t>
  </si>
  <si>
    <t>Angele Hood</t>
  </si>
  <si>
    <t>Jack O'Briant</t>
  </si>
  <si>
    <t>Paul Prost</t>
  </si>
  <si>
    <t>Carlos Daly</t>
  </si>
  <si>
    <t>Barry Pond</t>
  </si>
  <si>
    <t>Barry Weirich</t>
  </si>
  <si>
    <t>Ricardo Emerson</t>
  </si>
  <si>
    <t>Hallie Redmond</t>
  </si>
  <si>
    <t>Tracy Poddar</t>
  </si>
  <si>
    <t>Anna Chung</t>
  </si>
  <si>
    <t>Chuck Clark</t>
  </si>
  <si>
    <t>Toby Swindell</t>
  </si>
  <si>
    <t>Meg O'Connel</t>
  </si>
  <si>
    <t>Roy Phan</t>
  </si>
  <si>
    <t>James Lanier</t>
  </si>
  <si>
    <t>Bart Watters</t>
  </si>
  <si>
    <t>Frank Gastineau</t>
  </si>
  <si>
    <t>Eugene Hildebrand</t>
  </si>
  <si>
    <t>Joy Smith</t>
  </si>
  <si>
    <t>Christina DeMoss</t>
  </si>
  <si>
    <t>Harry Greene</t>
  </si>
  <si>
    <t>Becky Castell</t>
  </si>
  <si>
    <t>Alejandro Ballentine</t>
  </si>
  <si>
    <t>Muhammed Yedwab</t>
  </si>
  <si>
    <t>Maureen Fritzler</t>
  </si>
  <si>
    <t>Christopher Martinez</t>
  </si>
  <si>
    <t>Erin Creighton</t>
  </si>
  <si>
    <t>Bill Overfelt</t>
  </si>
  <si>
    <t>Vivian Mathis</t>
  </si>
  <si>
    <t>Chris McAfee</t>
  </si>
  <si>
    <t>Kelly Williams</t>
  </si>
  <si>
    <t>Michael Moore</t>
  </si>
  <si>
    <t>Liz MacKendrick</t>
  </si>
  <si>
    <t>Cari Sayre</t>
  </si>
  <si>
    <t>Kean Thornton</t>
  </si>
  <si>
    <t>Bobby Elias</t>
  </si>
  <si>
    <t>Neil Französisch</t>
  </si>
  <si>
    <t>Maurice Satty</t>
  </si>
  <si>
    <t>Michelle Moray</t>
  </si>
  <si>
    <t>Speros Goranitis</t>
  </si>
  <si>
    <t>Patrick Bzostek</t>
  </si>
  <si>
    <t>Ann Chong</t>
  </si>
  <si>
    <t>Mathew Reese</t>
  </si>
  <si>
    <t>Benjamin Farhat</t>
  </si>
  <si>
    <t>Ben Wallace</t>
  </si>
  <si>
    <t>Allen Armold</t>
  </si>
  <si>
    <t>Noah Childs</t>
  </si>
  <si>
    <t>Nicole Fjeld</t>
  </si>
  <si>
    <t>Sam Craven</t>
  </si>
  <si>
    <t>Brendan Dodson</t>
  </si>
  <si>
    <t>Suzanne McNair</t>
  </si>
  <si>
    <t>Evan Bailliet</t>
  </si>
  <si>
    <t>Susan MacKendrick</t>
  </si>
  <si>
    <t>Catherine Glotzbach</t>
  </si>
  <si>
    <t>Trudy Glocke</t>
  </si>
  <si>
    <t>Damala Kotsonis</t>
  </si>
  <si>
    <t>Pamela Stobb</t>
  </si>
  <si>
    <t>Stuart Van</t>
  </si>
  <si>
    <t>Brendan Murry</t>
  </si>
  <si>
    <t>Annie Zypern</t>
  </si>
  <si>
    <t>Harold Dahlen</t>
  </si>
  <si>
    <t>Barry Franz</t>
  </si>
  <si>
    <t>Henia Zydlo</t>
  </si>
  <si>
    <t>Keith Dawkins</t>
  </si>
  <si>
    <t>Frank Carlisle</t>
  </si>
  <si>
    <t>Denise Monton</t>
  </si>
  <si>
    <t>Emily Grady</t>
  </si>
  <si>
    <t>Henry Goldwyn</t>
  </si>
  <si>
    <t>Bart Folk</t>
  </si>
  <si>
    <t>Bill Donatelli</t>
  </si>
  <si>
    <t>Bill Stewart</t>
  </si>
  <si>
    <t>Dianna Arnett</t>
  </si>
  <si>
    <t>Max Engle</t>
  </si>
  <si>
    <t>Bobby Trafton</t>
  </si>
  <si>
    <t>Neoma Murray</t>
  </si>
  <si>
    <t>Mark Hamilton</t>
  </si>
  <si>
    <t>Toby Carlisle</t>
  </si>
  <si>
    <t>Emily Phan</t>
  </si>
  <si>
    <t>Craig Molinari</t>
  </si>
  <si>
    <t>Frank Olsen</t>
  </si>
  <si>
    <t>Maribeth Schnelling</t>
  </si>
  <si>
    <t>Adam Shillingsburg</t>
  </si>
  <si>
    <t>Cindy Stewart</t>
  </si>
  <si>
    <t>Maria Etezadi</t>
  </si>
  <si>
    <t>Maxwell Schwartz</t>
  </si>
  <si>
    <t>Art Ferguson</t>
  </si>
  <si>
    <t>Amy Hunt</t>
  </si>
  <si>
    <t>Matthew Clasen</t>
  </si>
  <si>
    <t>Cindy Schnelling</t>
  </si>
  <si>
    <t>Aaron Hawkins</t>
  </si>
  <si>
    <t>Kelly Andreada</t>
  </si>
  <si>
    <t>Sample Company A</t>
  </si>
  <si>
    <t>Tom Ashbrook</t>
  </si>
  <si>
    <t>Brad Thomas</t>
  </si>
  <si>
    <t>City</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</si>
  <si>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</si>
  <si>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</si>
  <si>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</si>
  <si>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</si>
  <si>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</si>
  <si>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</si>
  <si>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</si>
  <si>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</si>
  <si>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</si>
  <si>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</si>
  <si>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</si>
  <si>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</si>
  <si>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</si>
  <si>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</si>
  <si>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</si>
  <si>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</si>
  <si>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</si>
  <si>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</si>
  <si>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</si>
  <si>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</si>
  <si>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</si>
  <si>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</si>
  <si>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</si>
  <si>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</si>
  <si>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</si>
  <si>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</si>
  <si>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</si>
  <si>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</si>
  <si>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</si>
  <si>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</si>
  <si>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</si>
  <si>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</si>
  <si>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</si>
  <si>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</si>
  <si>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</si>
  <si>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</si>
  <si>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</si>
  <si>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</si>
  <si>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</si>
  <si>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</si>
  <si>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</si>
  <si>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</si>
  <si>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</si>
  <si>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</si>
  <si>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</si>
  <si>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</si>
  <si>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</si>
  <si>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</si>
  <si>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</si>
  <si>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</si>
  <si>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</si>
  <si>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</si>
  <si>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</si>
  <si>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</si>
  <si>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</si>
  <si>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</si>
  <si>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</si>
  <si>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</si>
  <si>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</si>
  <si>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</si>
  <si>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</si>
  <si>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</si>
  <si>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</si>
  <si>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</si>
  <si>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</si>
  <si>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</si>
  <si>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</si>
  <si>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</si>
  <si>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</si>
  <si>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</si>
  <si>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</si>
  <si>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</si>
  <si>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</si>
  <si>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</si>
  <si>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</si>
  <si>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</si>
  <si>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</si>
  <si>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</si>
  <si>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</si>
  <si>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</si>
  <si>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</si>
  <si>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</si>
  <si>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</si>
  <si>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</si>
  <si>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</si>
  <si>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</si>
  <si>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</si>
  <si>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</si>
  <si>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</si>
  <si>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</si>
  <si>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</si>
  <si>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</si>
  <si>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</si>
  <si>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</si>
  <si>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</si>
  <si>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</si>
  <si>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</si>
  <si>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</si>
  <si>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</si>
  <si>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</si>
  <si>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State</t>
  </si>
  <si>
    <t>Kentucky</t>
  </si>
  <si>
    <t>California</t>
  </si>
  <si>
    <t>Florida</t>
  </si>
  <si>
    <t>North Carolina</t>
  </si>
  <si>
    <t>Washington</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</si>
  <si>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</si>
  <si>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</si>
  <si>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</si>
  <si>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</si>
  <si>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</si>
  <si>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</si>
  <si>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</si>
  <si>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</si>
  <si>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</si>
  <si>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</si>
  <si>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</si>
  <si>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</si>
  <si>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</si>
  <si>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</si>
  <si>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</si>
  <si>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</si>
  <si>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</si>
  <si>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</si>
  <si>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</si>
  <si>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</si>
  <si>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</si>
  <si>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</si>
  <si>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</si>
  <si>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</si>
  <si>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</si>
  <si>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</si>
  <si>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</si>
  <si>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</si>
  <si>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</si>
  <si>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</si>
  <si>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Region</t>
  </si>
  <si>
    <t>South</t>
  </si>
  <si>
    <t>West</t>
  </si>
  <si>
    <t>Central</t>
  </si>
  <si>
    <t>East</t>
  </si>
  <si>
    <t>Category</t>
  </si>
  <si>
    <t>Furniture</t>
  </si>
  <si>
    <t>Office Supplies</t>
  </si>
  <si>
    <t>Technology</t>
  </si>
  <si>
    <t>Sub-Category</t>
  </si>
  <si>
    <t>Bookcases</t>
  </si>
  <si>
    <t>Chairs</t>
  </si>
  <si>
    <t>Labels</t>
  </si>
  <si>
    <t>Tables</t>
  </si>
  <si>
    <t>Storage</t>
  </si>
  <si>
    <t>Furnishings</t>
  </si>
  <si>
    <t>Art</t>
  </si>
  <si>
    <t>Phones</t>
  </si>
  <si>
    <t>Binders</t>
  </si>
  <si>
    <t>Appliances</t>
  </si>
  <si>
    <t>Paper</t>
  </si>
  <si>
    <t>Accessories</t>
  </si>
  <si>
    <t>Envelopes</t>
  </si>
  <si>
    <t>Fasteners</t>
  </si>
  <si>
    <t>Supplies</t>
  </si>
  <si>
    <t>Machines</t>
  </si>
  <si>
    <t>Copiers</t>
  </si>
  <si>
    <t>Sales</t>
  </si>
  <si>
    <t>Quantity</t>
  </si>
  <si>
    <t>Discount</t>
  </si>
  <si>
    <t>Profit</t>
  </si>
  <si>
    <t>Employe  ID</t>
  </si>
  <si>
    <t>Country</t>
  </si>
  <si>
    <t>United States</t>
  </si>
  <si>
    <t>United Kingdom</t>
  </si>
  <si>
    <t>Canada</t>
  </si>
  <si>
    <t>Germany</t>
  </si>
  <si>
    <t>Austrailia</t>
  </si>
  <si>
    <t>New Zealand</t>
  </si>
  <si>
    <t>France</t>
  </si>
  <si>
    <t>India</t>
  </si>
  <si>
    <t>Row Labels</t>
  </si>
  <si>
    <t>Grand Total</t>
  </si>
  <si>
    <t>Sum of Sales</t>
  </si>
  <si>
    <t>Sum of Quantity</t>
  </si>
  <si>
    <t>Sum of Profit</t>
  </si>
  <si>
    <t>calculate the Country total seles and profit with parsent .</t>
  </si>
  <si>
    <t>Column Labels</t>
  </si>
  <si>
    <t>Count of Category</t>
  </si>
  <si>
    <t>(Multiple Items)</t>
  </si>
  <si>
    <t xml:space="preserve">United Kingdom show the sales and profit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</si>
</sst>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C09]#,##0"/>
  </numFmts>
  <fonts count="5" x14ac:knownFonts="1">
    <font>
      <sz val="11"/>
      <color theme="1"/>
      <name val="Calibri"/>
      <family val="2"/>
      <scheme val="minor"/>
    </font>
    <font>
      <sz val="11"/>
      <color theme="1"/>
      <name val="Calibri"/>
      <family val="2"/>
    </font>
    <font>
      <b/>
      <sz val="12"/>
      <color theme="1"/>
      <name val="Calibri"/>
      <family val="2"/>
      <scheme val="minor"/>
    </font>
    <font>
      <b/>
      <sz val="12"/>
      <color theme="1"/>
      <name val="Calibri"/>
      <family val="2"/>
    </font>
    <font>
      <sz val="14"/>
      <color theme="1"/>
      <name val="Calibri"/>
      <family val="2"/>
      <scheme val="minor"/>
    </font>
  </fonts>
  <fills count="6">
    <fill>
      <patternFill patternType="none"/>
    </fill>
    <fill>
      <patternFill patternType="gray125"/>
    </fill>
    <fill>
      <patternFill patternType="solid">
        <fgColor theme="0" tint="-0.14999847407452621"/>
        <bgColor theme="0" tint="-0.14999847407452621"/>
      </patternFill>
    </fill>
    <fill>
      <patternFill patternType="solid">
        <fgColor theme="4" tint="0.79998168889431442"/>
        <bgColor indexed="64"/>
      </patternFill>
    </fill>
    <fill>
      <patternFill patternType="solid">
        <fgColor theme="4" tint="0.79998168889431442"/>
        <bgColor theme="4"/>
      </patternFill>
    </fill>
    <fill>
      <patternFill patternType="solid">
        <fgColor theme="7" tint="0.59999389629810485"/>
        <bgColor indexed="64"/>
      </patternFill>
    </fill>
  </fills>
  <borders count="8">
    <border>
      <left/>
      <right/>
      <top/>
      <bottom/>
      <diagonal/>
    </border>
    <border>
      <left style="thin">
        <color indexed="64"/>
      </left>
      <right style="thin">
        <color theme="1"/>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theme="4"/>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theme="1"/>
      </left>
      <right style="thin">
        <color theme="1"/>
      </right>
      <top style="thin">
        <color theme="1"/>
      </top>
      <bottom style="thin">
        <color theme="1"/>
      </bottom>
      <diagonal/>
    </border>
    <border>
      <left style="thin">
        <color theme="4"/>
      </left>
      <right style="thin">
        <color theme="1"/>
      </right>
      <top style="thin">
        <color theme="4"/>
      </top>
      <bottom style="thin">
        <color theme="1"/>
      </bottom>
      <diagonal/>
    </border>
    <border>
      <left style="thin">
        <color theme="1"/>
      </left>
      <right style="thin">
        <color theme="1"/>
      </right>
      <top style="thin">
        <color theme="4"/>
      </top>
      <bottom style="thin">
        <color theme="1"/>
      </bottom>
      <diagonal/>
    </border>
  </borders>
  <cellStyleXfs count="1">
    <xf numFmtId="0" fontId="0" fillId="0" borderId="0"/>
  </cellStyleXfs>
  <cellXfs count="27">
    <xf numFmtId="0" fontId="0" fillId="0" borderId="0" xfId="0"/>
    <xf numFmtId="0" fontId="0" fillId="2" borderId="5" xfId="0" applyFont="1" applyFill="1" applyBorder="1"/>
    <xf numFmtId="0" fontId="0" fillId="0" borderId="5" xfId="0" applyFont="1" applyBorder="1"/>
    <xf numFmtId="0" fontId="0" fillId="2" borderId="3" xfId="0" applyFont="1" applyFill="1" applyBorder="1"/>
    <xf numFmtId="0" fontId="0" fillId="2" borderId="4" xfId="0" applyFont="1" applyFill="1" applyBorder="1"/>
    <xf numFmtId="0" fontId="1" fillId="2" borderId="4" xfId="0" applyFont="1" applyFill="1" applyBorder="1"/>
    <xf numFmtId="0" fontId="0" fillId="0" borderId="6" xfId="0" applyFont="1" applyBorder="1"/>
    <xf numFmtId="0" fontId="0" fillId="0" borderId="7" xfId="0" applyFont="1" applyBorder="1"/>
    <xf numFmtId="0" fontId="1" fillId="0" borderId="7" xfId="0" applyFont="1" applyBorder="1"/>
    <xf numFmtId="0" fontId="0" fillId="2" borderId="6" xfId="0" applyFont="1" applyFill="1" applyBorder="1"/>
    <xf numFmtId="0" fontId="0" fillId="2" borderId="7" xfId="0" applyFont="1" applyFill="1" applyBorder="1"/>
    <xf numFmtId="0" fontId="1" fillId="2" borderId="7" xfId="0" applyFont="1" applyFill="1" applyBorder="1"/>
    <xf numFmtId="0" fontId="2" fillId="3" borderId="1" xfId="0" applyFont="1" applyFill="1" applyBorder="1"/>
    <xf numFmtId="0" fontId="3" fillId="4" borderId="1" xfId="0" applyFont="1" applyFill="1" applyBorder="1"/>
    <xf numFmtId="0" fontId="2" fillId="3" borderId="2" xfId="0" applyFont="1" applyFill="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9" fontId="0" fillId="0" borderId="0" xfId="0" applyNumberFormat="1"/>
    <xf numFmtId="0" fontId="4" fillId="5" borderId="0" xfId="0" applyFont="1" applyFill="1"/>
    <xf numFmtId="0" fontId="0" fillId="5" borderId="0" xfId="0" applyFill="1"/>
    <xf numFmtId="0" fontId="0" fillId="0" borderId="0" xfId="0" applyAlignment="1">
      <alignment horizontal="left" indent="1"/>
    </xf>
    <xf numFmtId="2" fontId="0" fillId="0" borderId="0" xfId="0" applyNumberFormat="1"/>
    <xf numFmtId="1" fontId="0" fillId="0" borderId="0" xfId="0" applyNumberFormat="1"/>
    <xf numFmtId="164" fontId="0" fillId="0" borderId="0" xfId="0" applyNumberFormat="1"/>
    <xf numFmtId="165"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Project.xlsx]q!PivotTable3</c:name>
    <c:fmtId val="5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1710909270042"/>
          <c:y val="0.14356276168670895"/>
          <c:w val="0.69573123359580058"/>
          <c:h val="0.77502301484502534"/>
        </c:manualLayout>
      </c:layout>
      <c:barChart>
        <c:barDir val="col"/>
        <c:grouping val="clustered"/>
        <c:varyColors val="0"/>
        <c:ser>
          <c:idx val="0"/>
          <c:order val="0"/>
          <c:tx>
            <c:strRef>
              <c:f>q!$B$3:$B$4</c:f>
              <c:strCache>
                <c:ptCount val="1"/>
                <c:pt idx="0">
                  <c:v>Austrailia</c:v>
                </c:pt>
              </c:strCache>
            </c:strRef>
          </c:tx>
          <c:spPr>
            <a:solidFill>
              <a:schemeClr val="accent1"/>
            </a:solidFill>
            <a:ln>
              <a:noFill/>
            </a:ln>
            <a:effectLst/>
          </c:spPr>
          <c:invertIfNegative val="0"/>
          <c:cat>
            <c:strRef>
              <c:f>q!$A$5:$A$8</c:f>
              <c:strCache>
                <c:ptCount val="3"/>
                <c:pt idx="0">
                  <c:v>Furniture</c:v>
                </c:pt>
                <c:pt idx="1">
                  <c:v>Office Supplies</c:v>
                </c:pt>
                <c:pt idx="2">
                  <c:v>Technology</c:v>
                </c:pt>
              </c:strCache>
            </c:strRef>
          </c:cat>
          <c:val>
            <c:numRef>
              <c:f>q!$B$5:$B$8</c:f>
              <c:numCache>
                <c:formatCode>0.00</c:formatCode>
                <c:ptCount val="3"/>
                <c:pt idx="0">
                  <c:v>259.24800000000005</c:v>
                </c:pt>
                <c:pt idx="1">
                  <c:v>2113.4140000000002</c:v>
                </c:pt>
                <c:pt idx="2">
                  <c:v>341.77799999999996</c:v>
                </c:pt>
              </c:numCache>
            </c:numRef>
          </c:val>
          <c:extLst>
            <c:ext xmlns:c16="http://schemas.microsoft.com/office/drawing/2014/chart" uri="{C3380CC4-5D6E-409C-BE32-E72D297353CC}">
              <c16:uniqueId val="{00000000-A594-40D8-BFF2-FA86874875C5}"/>
            </c:ext>
          </c:extLst>
        </c:ser>
        <c:ser>
          <c:idx val="1"/>
          <c:order val="1"/>
          <c:tx>
            <c:strRef>
              <c:f>q!$C$3:$C$4</c:f>
              <c:strCache>
                <c:ptCount val="1"/>
                <c:pt idx="0">
                  <c:v>Canada</c:v>
                </c:pt>
              </c:strCache>
            </c:strRef>
          </c:tx>
          <c:spPr>
            <a:solidFill>
              <a:schemeClr val="accent2"/>
            </a:solidFill>
            <a:ln>
              <a:noFill/>
            </a:ln>
            <a:effectLst/>
          </c:spPr>
          <c:invertIfNegative val="0"/>
          <c:cat>
            <c:strRef>
              <c:f>q!$A$5:$A$8</c:f>
              <c:strCache>
                <c:ptCount val="3"/>
                <c:pt idx="0">
                  <c:v>Furniture</c:v>
                </c:pt>
                <c:pt idx="1">
                  <c:v>Office Supplies</c:v>
                </c:pt>
                <c:pt idx="2">
                  <c:v>Technology</c:v>
                </c:pt>
              </c:strCache>
            </c:strRef>
          </c:cat>
          <c:val>
            <c:numRef>
              <c:f>q!$C$5:$C$8</c:f>
              <c:numCache>
                <c:formatCode>0.00</c:formatCode>
                <c:ptCount val="3"/>
                <c:pt idx="0">
                  <c:v>2132.5610000000001</c:v>
                </c:pt>
                <c:pt idx="1">
                  <c:v>12269.609899999998</c:v>
                </c:pt>
                <c:pt idx="2">
                  <c:v>1432.038</c:v>
                </c:pt>
              </c:numCache>
            </c:numRef>
          </c:val>
          <c:extLst>
            <c:ext xmlns:c16="http://schemas.microsoft.com/office/drawing/2014/chart" uri="{C3380CC4-5D6E-409C-BE32-E72D297353CC}">
              <c16:uniqueId val="{00000001-A594-40D8-BFF2-FA86874875C5}"/>
            </c:ext>
          </c:extLst>
        </c:ser>
        <c:ser>
          <c:idx val="2"/>
          <c:order val="2"/>
          <c:tx>
            <c:strRef>
              <c:f>q!$D$3:$D$4</c:f>
              <c:strCache>
                <c:ptCount val="1"/>
                <c:pt idx="0">
                  <c:v>France</c:v>
                </c:pt>
              </c:strCache>
            </c:strRef>
          </c:tx>
          <c:spPr>
            <a:solidFill>
              <a:schemeClr val="accent3"/>
            </a:solidFill>
            <a:ln>
              <a:noFill/>
            </a:ln>
            <a:effectLst/>
          </c:spPr>
          <c:invertIfNegative val="0"/>
          <c:cat>
            <c:strRef>
              <c:f>q!$A$5:$A$8</c:f>
              <c:strCache>
                <c:ptCount val="3"/>
                <c:pt idx="0">
                  <c:v>Furniture</c:v>
                </c:pt>
                <c:pt idx="1">
                  <c:v>Office Supplies</c:v>
                </c:pt>
                <c:pt idx="2">
                  <c:v>Technology</c:v>
                </c:pt>
              </c:strCache>
            </c:strRef>
          </c:cat>
          <c:val>
            <c:numRef>
              <c:f>q!$D$5:$D$8</c:f>
              <c:numCache>
                <c:formatCode>0.00</c:formatCode>
                <c:ptCount val="3"/>
                <c:pt idx="0">
                  <c:v>2740.9120000000003</c:v>
                </c:pt>
                <c:pt idx="1">
                  <c:v>6674.6220000000003</c:v>
                </c:pt>
                <c:pt idx="2">
                  <c:v>9234.75</c:v>
                </c:pt>
              </c:numCache>
            </c:numRef>
          </c:val>
          <c:extLst>
            <c:ext xmlns:c16="http://schemas.microsoft.com/office/drawing/2014/chart" uri="{C3380CC4-5D6E-409C-BE32-E72D297353CC}">
              <c16:uniqueId val="{00000002-A594-40D8-BFF2-FA86874875C5}"/>
            </c:ext>
          </c:extLst>
        </c:ser>
        <c:ser>
          <c:idx val="3"/>
          <c:order val="3"/>
          <c:tx>
            <c:strRef>
              <c:f>q!$E$3:$E$4</c:f>
              <c:strCache>
                <c:ptCount val="1"/>
                <c:pt idx="0">
                  <c:v>Germany</c:v>
                </c:pt>
              </c:strCache>
            </c:strRef>
          </c:tx>
          <c:spPr>
            <a:solidFill>
              <a:schemeClr val="accent4"/>
            </a:solidFill>
            <a:ln>
              <a:noFill/>
            </a:ln>
            <a:effectLst/>
          </c:spPr>
          <c:invertIfNegative val="0"/>
          <c:cat>
            <c:strRef>
              <c:f>q!$A$5:$A$8</c:f>
              <c:strCache>
                <c:ptCount val="3"/>
                <c:pt idx="0">
                  <c:v>Furniture</c:v>
                </c:pt>
                <c:pt idx="1">
                  <c:v>Office Supplies</c:v>
                </c:pt>
                <c:pt idx="2">
                  <c:v>Technology</c:v>
                </c:pt>
              </c:strCache>
            </c:strRef>
          </c:cat>
          <c:val>
            <c:numRef>
              <c:f>q!$E$5:$E$8</c:f>
              <c:numCache>
                <c:formatCode>0.00</c:formatCode>
                <c:ptCount val="3"/>
                <c:pt idx="0">
                  <c:v>1859.2440000000001</c:v>
                </c:pt>
                <c:pt idx="1">
                  <c:v>1613.9479999999999</c:v>
                </c:pt>
                <c:pt idx="2">
                  <c:v>661.38599999999997</c:v>
                </c:pt>
              </c:numCache>
            </c:numRef>
          </c:val>
          <c:extLst>
            <c:ext xmlns:c16="http://schemas.microsoft.com/office/drawing/2014/chart" uri="{C3380CC4-5D6E-409C-BE32-E72D297353CC}">
              <c16:uniqueId val="{00000003-A594-40D8-BFF2-FA86874875C5}"/>
            </c:ext>
          </c:extLst>
        </c:ser>
        <c:ser>
          <c:idx val="4"/>
          <c:order val="4"/>
          <c:tx>
            <c:strRef>
              <c:f>q!$F$3:$F$4</c:f>
              <c:strCache>
                <c:ptCount val="1"/>
                <c:pt idx="0">
                  <c:v>India</c:v>
                </c:pt>
              </c:strCache>
            </c:strRef>
          </c:tx>
          <c:spPr>
            <a:solidFill>
              <a:schemeClr val="accent5"/>
            </a:solidFill>
            <a:ln>
              <a:noFill/>
            </a:ln>
            <a:effectLst/>
          </c:spPr>
          <c:invertIfNegative val="0"/>
          <c:cat>
            <c:strRef>
              <c:f>q!$A$5:$A$8</c:f>
              <c:strCache>
                <c:ptCount val="3"/>
                <c:pt idx="0">
                  <c:v>Furniture</c:v>
                </c:pt>
                <c:pt idx="1">
                  <c:v>Office Supplies</c:v>
                </c:pt>
                <c:pt idx="2">
                  <c:v>Technology</c:v>
                </c:pt>
              </c:strCache>
            </c:strRef>
          </c:cat>
          <c:val>
            <c:numRef>
              <c:f>q!$F$5:$F$8</c:f>
              <c:numCache>
                <c:formatCode>0.00</c:formatCode>
                <c:ptCount val="3"/>
                <c:pt idx="0">
                  <c:v>18.622</c:v>
                </c:pt>
                <c:pt idx="1">
                  <c:v>2158.2359999999999</c:v>
                </c:pt>
                <c:pt idx="2">
                  <c:v>2991.8759999999997</c:v>
                </c:pt>
              </c:numCache>
            </c:numRef>
          </c:val>
          <c:extLst>
            <c:ext xmlns:c16="http://schemas.microsoft.com/office/drawing/2014/chart" uri="{C3380CC4-5D6E-409C-BE32-E72D297353CC}">
              <c16:uniqueId val="{00000004-A594-40D8-BFF2-FA86874875C5}"/>
            </c:ext>
          </c:extLst>
        </c:ser>
        <c:ser>
          <c:idx val="5"/>
          <c:order val="5"/>
          <c:tx>
            <c:strRef>
              <c:f>q!$G$3:$G$4</c:f>
              <c:strCache>
                <c:ptCount val="1"/>
                <c:pt idx="0">
                  <c:v>New Zealand</c:v>
                </c:pt>
              </c:strCache>
            </c:strRef>
          </c:tx>
          <c:spPr>
            <a:solidFill>
              <a:schemeClr val="accent6"/>
            </a:solidFill>
            <a:ln>
              <a:noFill/>
            </a:ln>
            <a:effectLst/>
          </c:spPr>
          <c:invertIfNegative val="0"/>
          <c:cat>
            <c:strRef>
              <c:f>q!$A$5:$A$8</c:f>
              <c:strCache>
                <c:ptCount val="3"/>
                <c:pt idx="0">
                  <c:v>Furniture</c:v>
                </c:pt>
                <c:pt idx="1">
                  <c:v>Office Supplies</c:v>
                </c:pt>
                <c:pt idx="2">
                  <c:v>Technology</c:v>
                </c:pt>
              </c:strCache>
            </c:strRef>
          </c:cat>
          <c:val>
            <c:numRef>
              <c:f>q!$G$5:$G$8</c:f>
              <c:numCache>
                <c:formatCode>0.00</c:formatCode>
                <c:ptCount val="3"/>
                <c:pt idx="0">
                  <c:v>853.96199999999999</c:v>
                </c:pt>
                <c:pt idx="1">
                  <c:v>6485.7250000000004</c:v>
                </c:pt>
                <c:pt idx="2">
                  <c:v>302.32800000000003</c:v>
                </c:pt>
              </c:numCache>
            </c:numRef>
          </c:val>
          <c:extLst>
            <c:ext xmlns:c16="http://schemas.microsoft.com/office/drawing/2014/chart" uri="{C3380CC4-5D6E-409C-BE32-E72D297353CC}">
              <c16:uniqueId val="{00000005-A594-40D8-BFF2-FA86874875C5}"/>
            </c:ext>
          </c:extLst>
        </c:ser>
        <c:ser>
          <c:idx val="6"/>
          <c:order val="6"/>
          <c:tx>
            <c:strRef>
              <c:f>q!$H$3:$H$4</c:f>
              <c:strCache>
                <c:ptCount val="1"/>
                <c:pt idx="0">
                  <c:v>United Kingdom</c:v>
                </c:pt>
              </c:strCache>
            </c:strRef>
          </c:tx>
          <c:spPr>
            <a:solidFill>
              <a:schemeClr val="accent1">
                <a:lumMod val="60000"/>
              </a:schemeClr>
            </a:solidFill>
            <a:ln>
              <a:noFill/>
            </a:ln>
            <a:effectLst/>
          </c:spPr>
          <c:invertIfNegative val="0"/>
          <c:cat>
            <c:strRef>
              <c:f>q!$A$5:$A$8</c:f>
              <c:strCache>
                <c:ptCount val="3"/>
                <c:pt idx="0">
                  <c:v>Furniture</c:v>
                </c:pt>
                <c:pt idx="1">
                  <c:v>Office Supplies</c:v>
                </c:pt>
                <c:pt idx="2">
                  <c:v>Technology</c:v>
                </c:pt>
              </c:strCache>
            </c:strRef>
          </c:cat>
          <c:val>
            <c:numRef>
              <c:f>q!$H$5:$H$8</c:f>
              <c:numCache>
                <c:formatCode>0.00</c:formatCode>
                <c:ptCount val="3"/>
                <c:pt idx="0">
                  <c:v>3168.4540000000002</c:v>
                </c:pt>
                <c:pt idx="1">
                  <c:v>6380.2779999999984</c:v>
                </c:pt>
                <c:pt idx="2">
                  <c:v>1867.854</c:v>
                </c:pt>
              </c:numCache>
            </c:numRef>
          </c:val>
          <c:extLst>
            <c:ext xmlns:c16="http://schemas.microsoft.com/office/drawing/2014/chart" uri="{C3380CC4-5D6E-409C-BE32-E72D297353CC}">
              <c16:uniqueId val="{00000006-A594-40D8-BFF2-FA86874875C5}"/>
            </c:ext>
          </c:extLst>
        </c:ser>
        <c:ser>
          <c:idx val="7"/>
          <c:order val="7"/>
          <c:tx>
            <c:strRef>
              <c:f>q!$I$3:$I$4</c:f>
              <c:strCache>
                <c:ptCount val="1"/>
                <c:pt idx="0">
                  <c:v>United States</c:v>
                </c:pt>
              </c:strCache>
            </c:strRef>
          </c:tx>
          <c:spPr>
            <a:solidFill>
              <a:schemeClr val="accent2">
                <a:lumMod val="60000"/>
              </a:schemeClr>
            </a:solidFill>
            <a:ln>
              <a:noFill/>
            </a:ln>
            <a:effectLst/>
          </c:spPr>
          <c:invertIfNegative val="0"/>
          <c:cat>
            <c:strRef>
              <c:f>q!$A$5:$A$8</c:f>
              <c:strCache>
                <c:ptCount val="3"/>
                <c:pt idx="0">
                  <c:v>Furniture</c:v>
                </c:pt>
                <c:pt idx="1">
                  <c:v>Office Supplies</c:v>
                </c:pt>
                <c:pt idx="2">
                  <c:v>Technology</c:v>
                </c:pt>
              </c:strCache>
            </c:strRef>
          </c:cat>
          <c:val>
            <c:numRef>
              <c:f>q!$I$5:$I$8</c:f>
              <c:numCache>
                <c:formatCode>0.00</c:formatCode>
                <c:ptCount val="3"/>
                <c:pt idx="0">
                  <c:v>5594.11</c:v>
                </c:pt>
                <c:pt idx="1">
                  <c:v>21065.307999999997</c:v>
                </c:pt>
                <c:pt idx="2">
                  <c:v>10245.996999999999</c:v>
                </c:pt>
              </c:numCache>
            </c:numRef>
          </c:val>
          <c:extLst>
            <c:ext xmlns:c16="http://schemas.microsoft.com/office/drawing/2014/chart" uri="{C3380CC4-5D6E-409C-BE32-E72D297353CC}">
              <c16:uniqueId val="{00000007-A594-40D8-BFF2-FA86874875C5}"/>
            </c:ext>
          </c:extLst>
        </c:ser>
        <c:dLbls>
          <c:showLegendKey val="0"/>
          <c:showVal val="0"/>
          <c:showCatName val="0"/>
          <c:showSerName val="0"/>
          <c:showPercent val="0"/>
          <c:showBubbleSize val="0"/>
        </c:dLbls>
        <c:gapWidth val="219"/>
        <c:overlap val="-27"/>
        <c:axId val="529625871"/>
        <c:axId val="529632111"/>
      </c:barChart>
      <c:catAx>
        <c:axId val="5296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32111"/>
        <c:crosses val="autoZero"/>
        <c:auto val="1"/>
        <c:lblAlgn val="ctr"/>
        <c:lblOffset val="100"/>
        <c:noMultiLvlLbl val="0"/>
      </c:catAx>
      <c:valAx>
        <c:axId val="5296321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2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Project.xlsx]q1!PivotTable2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Sum of Sales</c:v>
                </c:pt>
              </c:strCache>
            </c:strRef>
          </c:tx>
          <c:spPr>
            <a:solidFill>
              <a:schemeClr val="accent1"/>
            </a:solidFill>
            <a:ln>
              <a:noFill/>
            </a:ln>
            <a:effectLst/>
          </c:spPr>
          <c:invertIfNegative val="0"/>
          <c:cat>
            <c:strRef>
              <c:f>'q1'!$A$4:$A$12</c:f>
              <c:strCache>
                <c:ptCount val="8"/>
                <c:pt idx="0">
                  <c:v>Austrailia</c:v>
                </c:pt>
                <c:pt idx="1">
                  <c:v>Canada</c:v>
                </c:pt>
                <c:pt idx="2">
                  <c:v>France</c:v>
                </c:pt>
                <c:pt idx="3">
                  <c:v>Germany</c:v>
                </c:pt>
                <c:pt idx="4">
                  <c:v>India</c:v>
                </c:pt>
                <c:pt idx="5">
                  <c:v>New Zealand</c:v>
                </c:pt>
                <c:pt idx="6">
                  <c:v>United Kingdom</c:v>
                </c:pt>
                <c:pt idx="7">
                  <c:v>United States</c:v>
                </c:pt>
              </c:strCache>
            </c:strRef>
          </c:cat>
          <c:val>
            <c:numRef>
              <c:f>'q1'!$B$4:$B$12</c:f>
              <c:numCache>
                <c:formatCode>0%</c:formatCode>
                <c:ptCount val="8"/>
                <c:pt idx="0">
                  <c:v>2.6491061312846249E-2</c:v>
                </c:pt>
                <c:pt idx="1">
                  <c:v>0.15453095253912988</c:v>
                </c:pt>
                <c:pt idx="2">
                  <c:v>0.18201390229513104</c:v>
                </c:pt>
                <c:pt idx="3">
                  <c:v>4.0350628232985526E-2</c:v>
                </c:pt>
                <c:pt idx="4">
                  <c:v>5.044327717827362E-2</c:v>
                </c:pt>
                <c:pt idx="5">
                  <c:v>7.458079306180676E-2</c:v>
                </c:pt>
                <c:pt idx="6">
                  <c:v>0.1114180013960088</c:v>
                </c:pt>
                <c:pt idx="7">
                  <c:v>0.36017138398381826</c:v>
                </c:pt>
              </c:numCache>
            </c:numRef>
          </c:val>
          <c:extLst>
            <c:ext xmlns:c16="http://schemas.microsoft.com/office/drawing/2014/chart" uri="{C3380CC4-5D6E-409C-BE32-E72D297353CC}">
              <c16:uniqueId val="{00000000-56AA-489A-A155-9A23BEFB2A5D}"/>
            </c:ext>
          </c:extLst>
        </c:ser>
        <c:ser>
          <c:idx val="1"/>
          <c:order val="1"/>
          <c:tx>
            <c:strRef>
              <c:f>'q1'!$C$3</c:f>
              <c:strCache>
                <c:ptCount val="1"/>
                <c:pt idx="0">
                  <c:v>Sum of Profit</c:v>
                </c:pt>
              </c:strCache>
            </c:strRef>
          </c:tx>
          <c:spPr>
            <a:solidFill>
              <a:schemeClr val="accent2"/>
            </a:solidFill>
            <a:ln>
              <a:noFill/>
            </a:ln>
            <a:effectLst/>
          </c:spPr>
          <c:invertIfNegative val="0"/>
          <c:cat>
            <c:strRef>
              <c:f>'q1'!$A$4:$A$12</c:f>
              <c:strCache>
                <c:ptCount val="8"/>
                <c:pt idx="0">
                  <c:v>Austrailia</c:v>
                </c:pt>
                <c:pt idx="1">
                  <c:v>Canada</c:v>
                </c:pt>
                <c:pt idx="2">
                  <c:v>France</c:v>
                </c:pt>
                <c:pt idx="3">
                  <c:v>Germany</c:v>
                </c:pt>
                <c:pt idx="4">
                  <c:v>India</c:v>
                </c:pt>
                <c:pt idx="5">
                  <c:v>New Zealand</c:v>
                </c:pt>
                <c:pt idx="6">
                  <c:v>United Kingdom</c:v>
                </c:pt>
                <c:pt idx="7">
                  <c:v>United States</c:v>
                </c:pt>
              </c:strCache>
            </c:strRef>
          </c:cat>
          <c:val>
            <c:numRef>
              <c:f>'q1'!$C$4:$C$12</c:f>
              <c:numCache>
                <c:formatCode>0.00%</c:formatCode>
                <c:ptCount val="8"/>
                <c:pt idx="0">
                  <c:v>7.4016599141910569E-2</c:v>
                </c:pt>
                <c:pt idx="1">
                  <c:v>0.1857730620809353</c:v>
                </c:pt>
                <c:pt idx="2">
                  <c:v>8.6841739464610504E-2</c:v>
                </c:pt>
                <c:pt idx="3">
                  <c:v>0.10413821866501628</c:v>
                </c:pt>
                <c:pt idx="4">
                  <c:v>0.1081223449296544</c:v>
                </c:pt>
                <c:pt idx="5">
                  <c:v>5.8172589755038702E-2</c:v>
                </c:pt>
                <c:pt idx="6">
                  <c:v>9.6282691865003184E-2</c:v>
                </c:pt>
                <c:pt idx="7">
                  <c:v>0.28665275409783109</c:v>
                </c:pt>
              </c:numCache>
            </c:numRef>
          </c:val>
          <c:extLst>
            <c:ext xmlns:c16="http://schemas.microsoft.com/office/drawing/2014/chart" uri="{C3380CC4-5D6E-409C-BE32-E72D297353CC}">
              <c16:uniqueId val="{00000001-56AA-489A-A155-9A23BEFB2A5D}"/>
            </c:ext>
          </c:extLst>
        </c:ser>
        <c:dLbls>
          <c:showLegendKey val="0"/>
          <c:showVal val="0"/>
          <c:showCatName val="0"/>
          <c:showSerName val="0"/>
          <c:showPercent val="0"/>
          <c:showBubbleSize val="0"/>
        </c:dLbls>
        <c:gapWidth val="219"/>
        <c:overlap val="-27"/>
        <c:axId val="2113842735"/>
        <c:axId val="2113835247"/>
      </c:barChart>
      <c:catAx>
        <c:axId val="211384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35247"/>
        <c:crosses val="autoZero"/>
        <c:auto val="1"/>
        <c:lblAlgn val="ctr"/>
        <c:lblOffset val="100"/>
        <c:noMultiLvlLbl val="0"/>
      </c:catAx>
      <c:valAx>
        <c:axId val="2113835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10B1-4E00-B601-A8DC09D87328}"/>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10B1-4E00-B601-A8DC09D87328}"/>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10B1-4E00-B601-A8DC09D87328}"/>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10B1-4E00-B601-A8DC09D87328}"/>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10B1-4E00-B601-A8DC09D87328}"/>
              </c:ext>
            </c:extLst>
          </c:dPt>
          <c:dPt>
            <c:idx val="5"/>
            <c:bubble3D val="0"/>
            <c:spPr>
              <a:solidFill>
                <a:srgbClr val="92D050"/>
              </a:solidFill>
              <a:ln w="19050">
                <a:solidFill>
                  <a:schemeClr val="lt1"/>
                </a:solidFill>
              </a:ln>
              <a:effectLst/>
            </c:spPr>
            <c:extLst>
              <c:ext xmlns:c16="http://schemas.microsoft.com/office/drawing/2014/chart" uri="{C3380CC4-5D6E-409C-BE32-E72D297353CC}">
                <c16:uniqueId val="{0000000B-10B1-4E00-B601-A8DC09D87328}"/>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D-10B1-4E00-B601-A8DC09D87328}"/>
              </c:ext>
            </c:extLst>
          </c:dPt>
          <c:dPt>
            <c:idx val="7"/>
            <c:bubble3D val="0"/>
            <c:spPr>
              <a:solidFill>
                <a:srgbClr val="92D050"/>
              </a:solidFill>
              <a:ln w="19050">
                <a:solidFill>
                  <a:schemeClr val="lt1"/>
                </a:solidFill>
              </a:ln>
              <a:effectLst/>
            </c:spPr>
            <c:extLst>
              <c:ext xmlns:c16="http://schemas.microsoft.com/office/drawing/2014/chart" uri="{C3380CC4-5D6E-409C-BE32-E72D297353CC}">
                <c16:uniqueId val="{0000000F-10B1-4E00-B601-A8DC09D87328}"/>
              </c:ext>
            </c:extLst>
          </c:dPt>
          <c:dPt>
            <c:idx val="8"/>
            <c:bubble3D val="0"/>
            <c:spPr>
              <a:solidFill>
                <a:srgbClr val="92D050"/>
              </a:solidFill>
              <a:ln w="19050">
                <a:solidFill>
                  <a:schemeClr val="lt1"/>
                </a:solidFill>
              </a:ln>
              <a:effectLst/>
            </c:spPr>
            <c:extLst>
              <c:ext xmlns:c16="http://schemas.microsoft.com/office/drawing/2014/chart" uri="{C3380CC4-5D6E-409C-BE32-E72D297353CC}">
                <c16:uniqueId val="{00000011-10B1-4E00-B601-A8DC09D87328}"/>
              </c:ext>
            </c:extLst>
          </c:dPt>
          <c:dPt>
            <c:idx val="9"/>
            <c:bubble3D val="0"/>
            <c:spPr>
              <a:solidFill>
                <a:srgbClr val="92D050"/>
              </a:solidFill>
              <a:ln w="19050">
                <a:solidFill>
                  <a:schemeClr val="lt1"/>
                </a:solidFill>
              </a:ln>
              <a:effectLst/>
            </c:spPr>
            <c:extLst>
              <c:ext xmlns:c16="http://schemas.microsoft.com/office/drawing/2014/chart" uri="{C3380CC4-5D6E-409C-BE32-E72D297353CC}">
                <c16:uniqueId val="{00000013-10B1-4E00-B601-A8DC09D87328}"/>
              </c:ext>
            </c:extLst>
          </c:dPt>
          <c:dPt>
            <c:idx val="10"/>
            <c:bubble3D val="0"/>
            <c:spPr>
              <a:solidFill>
                <a:srgbClr val="92D050"/>
              </a:solidFill>
              <a:ln w="19050">
                <a:solidFill>
                  <a:schemeClr val="lt1"/>
                </a:solidFill>
              </a:ln>
              <a:effectLst/>
            </c:spPr>
            <c:extLst>
              <c:ext xmlns:c16="http://schemas.microsoft.com/office/drawing/2014/chart" uri="{C3380CC4-5D6E-409C-BE32-E72D297353CC}">
                <c16:uniqueId val="{00000015-10B1-4E00-B601-A8DC09D87328}"/>
              </c:ext>
            </c:extLst>
          </c:dPt>
          <c:dPt>
            <c:idx val="11"/>
            <c:bubble3D val="0"/>
            <c:spPr>
              <a:solidFill>
                <a:srgbClr val="92D050"/>
              </a:solidFill>
              <a:ln w="19050">
                <a:solidFill>
                  <a:schemeClr val="lt1"/>
                </a:solidFill>
              </a:ln>
              <a:effectLst/>
            </c:spPr>
            <c:extLst>
              <c:ext xmlns:c16="http://schemas.microsoft.com/office/drawing/2014/chart" uri="{C3380CC4-5D6E-409C-BE32-E72D297353CC}">
                <c16:uniqueId val="{00000017-10B1-4E00-B601-A8DC09D87328}"/>
              </c:ext>
            </c:extLst>
          </c:dPt>
          <c:dPt>
            <c:idx val="12"/>
            <c:bubble3D val="0"/>
            <c:spPr>
              <a:solidFill>
                <a:srgbClr val="92D050"/>
              </a:solidFill>
              <a:ln w="19050">
                <a:solidFill>
                  <a:schemeClr val="lt1"/>
                </a:solidFill>
              </a:ln>
              <a:effectLst/>
            </c:spPr>
            <c:extLst>
              <c:ext xmlns:c16="http://schemas.microsoft.com/office/drawing/2014/chart" uri="{C3380CC4-5D6E-409C-BE32-E72D297353CC}">
                <c16:uniqueId val="{00000019-10B1-4E00-B601-A8DC09D87328}"/>
              </c:ext>
            </c:extLst>
          </c:dPt>
          <c:dPt>
            <c:idx val="13"/>
            <c:bubble3D val="0"/>
            <c:spPr>
              <a:solidFill>
                <a:srgbClr val="92D050"/>
              </a:solidFill>
              <a:ln w="19050">
                <a:solidFill>
                  <a:schemeClr val="lt1"/>
                </a:solidFill>
              </a:ln>
              <a:effectLst/>
            </c:spPr>
            <c:extLst>
              <c:ext xmlns:c16="http://schemas.microsoft.com/office/drawing/2014/chart" uri="{C3380CC4-5D6E-409C-BE32-E72D297353CC}">
                <c16:uniqueId val="{0000001B-10B1-4E00-B601-A8DC09D87328}"/>
              </c:ext>
            </c:extLst>
          </c:dPt>
          <c:dPt>
            <c:idx val="14"/>
            <c:bubble3D val="0"/>
            <c:spPr>
              <a:solidFill>
                <a:srgbClr val="92D050"/>
              </a:solidFill>
              <a:ln w="19050">
                <a:solidFill>
                  <a:schemeClr val="lt1"/>
                </a:solidFill>
              </a:ln>
              <a:effectLst/>
            </c:spPr>
            <c:extLst>
              <c:ext xmlns:c16="http://schemas.microsoft.com/office/drawing/2014/chart" uri="{C3380CC4-5D6E-409C-BE32-E72D297353CC}">
                <c16:uniqueId val="{0000001D-10B1-4E00-B601-A8DC09D87328}"/>
              </c:ext>
            </c:extLst>
          </c:dPt>
          <c:dPt>
            <c:idx val="15"/>
            <c:bubble3D val="0"/>
            <c:spPr>
              <a:solidFill>
                <a:srgbClr val="92D050"/>
              </a:solidFill>
              <a:ln w="19050">
                <a:solidFill>
                  <a:schemeClr val="lt1"/>
                </a:solidFill>
              </a:ln>
              <a:effectLst/>
            </c:spPr>
            <c:extLst>
              <c:ext xmlns:c16="http://schemas.microsoft.com/office/drawing/2014/chart" uri="{C3380CC4-5D6E-409C-BE32-E72D297353CC}">
                <c16:uniqueId val="{0000001F-10B1-4E00-B601-A8DC09D87328}"/>
              </c:ext>
            </c:extLst>
          </c:dPt>
          <c:dPt>
            <c:idx val="16"/>
            <c:bubble3D val="0"/>
            <c:spPr>
              <a:solidFill>
                <a:srgbClr val="92D050"/>
              </a:solidFill>
              <a:ln w="19050">
                <a:solidFill>
                  <a:schemeClr val="lt1"/>
                </a:solidFill>
              </a:ln>
              <a:effectLst/>
            </c:spPr>
            <c:extLst>
              <c:ext xmlns:c16="http://schemas.microsoft.com/office/drawing/2014/chart" uri="{C3380CC4-5D6E-409C-BE32-E72D297353CC}">
                <c16:uniqueId val="{00000021-10B1-4E00-B601-A8DC09D87328}"/>
              </c:ext>
            </c:extLst>
          </c:dPt>
          <c:dPt>
            <c:idx val="17"/>
            <c:bubble3D val="0"/>
            <c:spPr>
              <a:solidFill>
                <a:srgbClr val="92D050"/>
              </a:solidFill>
              <a:ln w="19050">
                <a:solidFill>
                  <a:schemeClr val="lt1"/>
                </a:solidFill>
              </a:ln>
              <a:effectLst/>
            </c:spPr>
            <c:extLst>
              <c:ext xmlns:c16="http://schemas.microsoft.com/office/drawing/2014/chart" uri="{C3380CC4-5D6E-409C-BE32-E72D297353CC}">
                <c16:uniqueId val="{00000023-10B1-4E00-B601-A8DC09D87328}"/>
              </c:ext>
            </c:extLst>
          </c:dPt>
          <c:dPt>
            <c:idx val="18"/>
            <c:bubble3D val="0"/>
            <c:spPr>
              <a:solidFill>
                <a:srgbClr val="92D050"/>
              </a:solidFill>
              <a:ln w="19050">
                <a:solidFill>
                  <a:schemeClr val="lt1"/>
                </a:solidFill>
              </a:ln>
              <a:effectLst/>
            </c:spPr>
            <c:extLst>
              <c:ext xmlns:c16="http://schemas.microsoft.com/office/drawing/2014/chart" uri="{C3380CC4-5D6E-409C-BE32-E72D297353CC}">
                <c16:uniqueId val="{00000025-10B1-4E00-B601-A8DC09D87328}"/>
              </c:ext>
            </c:extLst>
          </c:dPt>
          <c:dPt>
            <c:idx val="19"/>
            <c:bubble3D val="0"/>
            <c:spPr>
              <a:solidFill>
                <a:srgbClr val="92D050"/>
              </a:solidFill>
              <a:ln w="19050">
                <a:solidFill>
                  <a:schemeClr val="lt1"/>
                </a:solidFill>
              </a:ln>
              <a:effectLst/>
            </c:spPr>
            <c:extLst>
              <c:ext xmlns:c16="http://schemas.microsoft.com/office/drawing/2014/chart" uri="{C3380CC4-5D6E-409C-BE32-E72D297353CC}">
                <c16:uniqueId val="{00000027-10B1-4E00-B601-A8DC09D8732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0B1-4E00-B601-A8DC09D87328}"/>
            </c:ext>
          </c:extLst>
        </c:ser>
        <c:dLbls>
          <c:showLegendKey val="0"/>
          <c:showVal val="0"/>
          <c:showCatName val="0"/>
          <c:showSerName val="0"/>
          <c:showPercent val="0"/>
          <c:showBubbleSize val="0"/>
          <c:showLeaderLines val="1"/>
        </c:dLbls>
        <c:firstSliceAng val="10"/>
        <c:holeSize val="60"/>
      </c:doughnutChart>
      <c:doughnutChart>
        <c:varyColors val="1"/>
        <c:ser>
          <c:idx val="1"/>
          <c:order val="1"/>
          <c:tx>
            <c:strRef>
              <c:f>'q2 dashboard'!$A$4</c:f>
              <c:strCache>
                <c:ptCount val="1"/>
                <c:pt idx="0">
                  <c:v>Furniture</c:v>
                </c:pt>
              </c:strCache>
            </c:strRef>
          </c:tx>
          <c:dPt>
            <c:idx val="0"/>
            <c:bubble3D val="0"/>
            <c:spPr>
              <a:noFill/>
              <a:ln w="19050">
                <a:solidFill>
                  <a:schemeClr val="lt1"/>
                </a:solidFill>
              </a:ln>
              <a:effectLst/>
            </c:spPr>
            <c:extLst>
              <c:ext xmlns:c16="http://schemas.microsoft.com/office/drawing/2014/chart" uri="{C3380CC4-5D6E-409C-BE32-E72D297353CC}">
                <c16:uniqueId val="{0000002A-10B1-4E00-B601-A8DC09D87328}"/>
              </c:ext>
            </c:extLst>
          </c:dPt>
          <c:dPt>
            <c:idx val="1"/>
            <c:bubble3D val="0"/>
            <c:spPr>
              <a:solidFill>
                <a:schemeClr val="bg1">
                  <a:lumMod val="95000"/>
                  <a:alpha val="50000"/>
                </a:schemeClr>
              </a:solidFill>
              <a:ln w="19050">
                <a:solidFill>
                  <a:schemeClr val="lt1"/>
                </a:solidFill>
              </a:ln>
              <a:effectLst/>
            </c:spPr>
            <c:extLst>
              <c:ext xmlns:c16="http://schemas.microsoft.com/office/drawing/2014/chart" uri="{C3380CC4-5D6E-409C-BE32-E72D297353CC}">
                <c16:uniqueId val="{0000002C-10B1-4E00-B601-A8DC09D87328}"/>
              </c:ext>
            </c:extLst>
          </c:dPt>
          <c:val>
            <c:numRef>
              <c:f>'q2 dashboard'!$B$4:$C$4</c:f>
              <c:numCache>
                <c:formatCode>0%</c:formatCode>
                <c:ptCount val="2"/>
                <c:pt idx="0">
                  <c:v>0.13468061546162879</c:v>
                </c:pt>
                <c:pt idx="1">
                  <c:v>0.86531938453837121</c:v>
                </c:pt>
              </c:numCache>
            </c:numRef>
          </c:val>
          <c:extLst>
            <c:ext xmlns:c16="http://schemas.microsoft.com/office/drawing/2014/chart" uri="{C3380CC4-5D6E-409C-BE32-E72D297353CC}">
              <c16:uniqueId val="{0000002D-10B1-4E00-B601-A8DC09D8732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DCB1-48E2-9D1B-2B949ABF8B62}"/>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DCB1-48E2-9D1B-2B949ABF8B62}"/>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DCB1-48E2-9D1B-2B949ABF8B62}"/>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DCB1-48E2-9D1B-2B949ABF8B62}"/>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DCB1-48E2-9D1B-2B949ABF8B62}"/>
              </c:ext>
            </c:extLst>
          </c:dPt>
          <c:dPt>
            <c:idx val="5"/>
            <c:bubble3D val="0"/>
            <c:spPr>
              <a:solidFill>
                <a:srgbClr val="FFC000"/>
              </a:solidFill>
              <a:ln w="19050">
                <a:solidFill>
                  <a:schemeClr val="lt1"/>
                </a:solidFill>
              </a:ln>
              <a:effectLst/>
            </c:spPr>
            <c:extLst>
              <c:ext xmlns:c16="http://schemas.microsoft.com/office/drawing/2014/chart" uri="{C3380CC4-5D6E-409C-BE32-E72D297353CC}">
                <c16:uniqueId val="{0000000B-DCB1-48E2-9D1B-2B949ABF8B62}"/>
              </c:ext>
            </c:extLst>
          </c:dPt>
          <c:dPt>
            <c:idx val="6"/>
            <c:bubble3D val="0"/>
            <c:spPr>
              <a:solidFill>
                <a:srgbClr val="FFC000"/>
              </a:solidFill>
              <a:ln w="19050">
                <a:solidFill>
                  <a:schemeClr val="lt1"/>
                </a:solidFill>
              </a:ln>
              <a:effectLst/>
            </c:spPr>
            <c:extLst>
              <c:ext xmlns:c16="http://schemas.microsoft.com/office/drawing/2014/chart" uri="{C3380CC4-5D6E-409C-BE32-E72D297353CC}">
                <c16:uniqueId val="{0000000D-DCB1-48E2-9D1B-2B949ABF8B62}"/>
              </c:ext>
            </c:extLst>
          </c:dPt>
          <c:dPt>
            <c:idx val="7"/>
            <c:bubble3D val="0"/>
            <c:spPr>
              <a:solidFill>
                <a:srgbClr val="FFC000"/>
              </a:solidFill>
              <a:ln w="19050">
                <a:solidFill>
                  <a:schemeClr val="lt1"/>
                </a:solidFill>
              </a:ln>
              <a:effectLst/>
            </c:spPr>
            <c:extLst>
              <c:ext xmlns:c16="http://schemas.microsoft.com/office/drawing/2014/chart" uri="{C3380CC4-5D6E-409C-BE32-E72D297353CC}">
                <c16:uniqueId val="{0000000F-DCB1-48E2-9D1B-2B949ABF8B62}"/>
              </c:ext>
            </c:extLst>
          </c:dPt>
          <c:dPt>
            <c:idx val="8"/>
            <c:bubble3D val="0"/>
            <c:spPr>
              <a:solidFill>
                <a:srgbClr val="FFC000"/>
              </a:solidFill>
              <a:ln w="19050">
                <a:solidFill>
                  <a:schemeClr val="lt1"/>
                </a:solidFill>
              </a:ln>
              <a:effectLst/>
            </c:spPr>
            <c:extLst>
              <c:ext xmlns:c16="http://schemas.microsoft.com/office/drawing/2014/chart" uri="{C3380CC4-5D6E-409C-BE32-E72D297353CC}">
                <c16:uniqueId val="{00000011-DCB1-48E2-9D1B-2B949ABF8B62}"/>
              </c:ext>
            </c:extLst>
          </c:dPt>
          <c:dPt>
            <c:idx val="9"/>
            <c:bubble3D val="0"/>
            <c:spPr>
              <a:solidFill>
                <a:srgbClr val="FFC000"/>
              </a:solidFill>
              <a:ln w="19050">
                <a:solidFill>
                  <a:schemeClr val="lt1"/>
                </a:solidFill>
              </a:ln>
              <a:effectLst/>
            </c:spPr>
            <c:extLst>
              <c:ext xmlns:c16="http://schemas.microsoft.com/office/drawing/2014/chart" uri="{C3380CC4-5D6E-409C-BE32-E72D297353CC}">
                <c16:uniqueId val="{00000013-DCB1-48E2-9D1B-2B949ABF8B62}"/>
              </c:ext>
            </c:extLst>
          </c:dPt>
          <c:dPt>
            <c:idx val="10"/>
            <c:bubble3D val="0"/>
            <c:spPr>
              <a:solidFill>
                <a:srgbClr val="FFC000"/>
              </a:solidFill>
              <a:ln w="19050">
                <a:solidFill>
                  <a:schemeClr val="lt1"/>
                </a:solidFill>
              </a:ln>
              <a:effectLst/>
            </c:spPr>
            <c:extLst>
              <c:ext xmlns:c16="http://schemas.microsoft.com/office/drawing/2014/chart" uri="{C3380CC4-5D6E-409C-BE32-E72D297353CC}">
                <c16:uniqueId val="{00000015-DCB1-48E2-9D1B-2B949ABF8B62}"/>
              </c:ext>
            </c:extLst>
          </c:dPt>
          <c:dPt>
            <c:idx val="11"/>
            <c:bubble3D val="0"/>
            <c:spPr>
              <a:solidFill>
                <a:srgbClr val="FFC000"/>
              </a:solidFill>
              <a:ln w="19050">
                <a:solidFill>
                  <a:schemeClr val="lt1"/>
                </a:solidFill>
              </a:ln>
              <a:effectLst/>
            </c:spPr>
            <c:extLst>
              <c:ext xmlns:c16="http://schemas.microsoft.com/office/drawing/2014/chart" uri="{C3380CC4-5D6E-409C-BE32-E72D297353CC}">
                <c16:uniqueId val="{00000017-DCB1-48E2-9D1B-2B949ABF8B62}"/>
              </c:ext>
            </c:extLst>
          </c:dPt>
          <c:dPt>
            <c:idx val="12"/>
            <c:bubble3D val="0"/>
            <c:spPr>
              <a:solidFill>
                <a:srgbClr val="FFC000"/>
              </a:solidFill>
              <a:ln w="19050">
                <a:solidFill>
                  <a:schemeClr val="lt1"/>
                </a:solidFill>
              </a:ln>
              <a:effectLst/>
            </c:spPr>
            <c:extLst>
              <c:ext xmlns:c16="http://schemas.microsoft.com/office/drawing/2014/chart" uri="{C3380CC4-5D6E-409C-BE32-E72D297353CC}">
                <c16:uniqueId val="{00000019-DCB1-48E2-9D1B-2B949ABF8B62}"/>
              </c:ext>
            </c:extLst>
          </c:dPt>
          <c:dPt>
            <c:idx val="13"/>
            <c:bubble3D val="0"/>
            <c:spPr>
              <a:solidFill>
                <a:srgbClr val="FFC000"/>
              </a:solidFill>
              <a:ln w="19050">
                <a:solidFill>
                  <a:schemeClr val="lt1"/>
                </a:solidFill>
              </a:ln>
              <a:effectLst/>
            </c:spPr>
            <c:extLst>
              <c:ext xmlns:c16="http://schemas.microsoft.com/office/drawing/2014/chart" uri="{C3380CC4-5D6E-409C-BE32-E72D297353CC}">
                <c16:uniqueId val="{0000001B-DCB1-48E2-9D1B-2B949ABF8B62}"/>
              </c:ext>
            </c:extLst>
          </c:dPt>
          <c:dPt>
            <c:idx val="14"/>
            <c:bubble3D val="0"/>
            <c:spPr>
              <a:solidFill>
                <a:srgbClr val="FFC000"/>
              </a:solidFill>
              <a:ln w="19050">
                <a:solidFill>
                  <a:schemeClr val="lt1"/>
                </a:solidFill>
              </a:ln>
              <a:effectLst/>
            </c:spPr>
            <c:extLst>
              <c:ext xmlns:c16="http://schemas.microsoft.com/office/drawing/2014/chart" uri="{C3380CC4-5D6E-409C-BE32-E72D297353CC}">
                <c16:uniqueId val="{0000001D-DCB1-48E2-9D1B-2B949ABF8B62}"/>
              </c:ext>
            </c:extLst>
          </c:dPt>
          <c:dPt>
            <c:idx val="15"/>
            <c:bubble3D val="0"/>
            <c:spPr>
              <a:solidFill>
                <a:srgbClr val="FFC000"/>
              </a:solidFill>
              <a:ln w="19050">
                <a:solidFill>
                  <a:schemeClr val="lt1"/>
                </a:solidFill>
              </a:ln>
              <a:effectLst/>
            </c:spPr>
            <c:extLst>
              <c:ext xmlns:c16="http://schemas.microsoft.com/office/drawing/2014/chart" uri="{C3380CC4-5D6E-409C-BE32-E72D297353CC}">
                <c16:uniqueId val="{0000001F-DCB1-48E2-9D1B-2B949ABF8B62}"/>
              </c:ext>
            </c:extLst>
          </c:dPt>
          <c:dPt>
            <c:idx val="16"/>
            <c:bubble3D val="0"/>
            <c:spPr>
              <a:solidFill>
                <a:srgbClr val="FFC000"/>
              </a:solidFill>
              <a:ln w="19050">
                <a:solidFill>
                  <a:schemeClr val="lt1"/>
                </a:solidFill>
              </a:ln>
              <a:effectLst/>
            </c:spPr>
            <c:extLst>
              <c:ext xmlns:c16="http://schemas.microsoft.com/office/drawing/2014/chart" uri="{C3380CC4-5D6E-409C-BE32-E72D297353CC}">
                <c16:uniqueId val="{00000021-DCB1-48E2-9D1B-2B949ABF8B62}"/>
              </c:ext>
            </c:extLst>
          </c:dPt>
          <c:dPt>
            <c:idx val="17"/>
            <c:bubble3D val="0"/>
            <c:spPr>
              <a:solidFill>
                <a:srgbClr val="FFC000"/>
              </a:solidFill>
              <a:ln w="19050">
                <a:solidFill>
                  <a:schemeClr val="lt1"/>
                </a:solidFill>
              </a:ln>
              <a:effectLst/>
            </c:spPr>
            <c:extLst>
              <c:ext xmlns:c16="http://schemas.microsoft.com/office/drawing/2014/chart" uri="{C3380CC4-5D6E-409C-BE32-E72D297353CC}">
                <c16:uniqueId val="{00000023-DCB1-48E2-9D1B-2B949ABF8B62}"/>
              </c:ext>
            </c:extLst>
          </c:dPt>
          <c:dPt>
            <c:idx val="18"/>
            <c:bubble3D val="0"/>
            <c:spPr>
              <a:solidFill>
                <a:srgbClr val="FFC000"/>
              </a:solidFill>
              <a:ln w="19050">
                <a:solidFill>
                  <a:schemeClr val="lt1"/>
                </a:solidFill>
              </a:ln>
              <a:effectLst/>
            </c:spPr>
            <c:extLst>
              <c:ext xmlns:c16="http://schemas.microsoft.com/office/drawing/2014/chart" uri="{C3380CC4-5D6E-409C-BE32-E72D297353CC}">
                <c16:uniqueId val="{00000025-DCB1-48E2-9D1B-2B949ABF8B62}"/>
              </c:ext>
            </c:extLst>
          </c:dPt>
          <c:dPt>
            <c:idx val="19"/>
            <c:bubble3D val="0"/>
            <c:spPr>
              <a:solidFill>
                <a:srgbClr val="FFC000"/>
              </a:solidFill>
              <a:ln w="19050">
                <a:solidFill>
                  <a:schemeClr val="lt1"/>
                </a:solidFill>
              </a:ln>
              <a:effectLst/>
            </c:spPr>
            <c:extLst>
              <c:ext xmlns:c16="http://schemas.microsoft.com/office/drawing/2014/chart" uri="{C3380CC4-5D6E-409C-BE32-E72D297353CC}">
                <c16:uniqueId val="{00000027-DCB1-48E2-9D1B-2B949ABF8B6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CB1-48E2-9D1B-2B949ABF8B62}"/>
            </c:ext>
          </c:extLst>
        </c:ser>
        <c:dLbls>
          <c:showLegendKey val="0"/>
          <c:showVal val="0"/>
          <c:showCatName val="0"/>
          <c:showSerName val="0"/>
          <c:showPercent val="0"/>
          <c:showBubbleSize val="0"/>
          <c:showLeaderLines val="1"/>
        </c:dLbls>
        <c:firstSliceAng val="10"/>
        <c:holeSize val="60"/>
      </c:doughnutChart>
      <c:doughnutChart>
        <c:varyColors val="1"/>
        <c:ser>
          <c:idx val="1"/>
          <c:order val="1"/>
          <c:tx>
            <c:strRef>
              <c:f>'q2 dashboard'!$A$6</c:f>
              <c:strCache>
                <c:ptCount val="1"/>
                <c:pt idx="0">
                  <c:v>Technology</c:v>
                </c:pt>
              </c:strCache>
            </c:strRef>
          </c:tx>
          <c:dPt>
            <c:idx val="0"/>
            <c:bubble3D val="0"/>
            <c:spPr>
              <a:noFill/>
              <a:ln w="19050">
                <a:solidFill>
                  <a:schemeClr val="lt1"/>
                </a:solidFill>
              </a:ln>
              <a:effectLst/>
            </c:spPr>
            <c:extLst>
              <c:ext xmlns:c16="http://schemas.microsoft.com/office/drawing/2014/chart" uri="{C3380CC4-5D6E-409C-BE32-E72D297353CC}">
                <c16:uniqueId val="{0000002A-DCB1-48E2-9D1B-2B949ABF8B62}"/>
              </c:ext>
            </c:extLst>
          </c:dPt>
          <c:dPt>
            <c:idx val="1"/>
            <c:bubble3D val="0"/>
            <c:spPr>
              <a:solidFill>
                <a:schemeClr val="bg1">
                  <a:lumMod val="95000"/>
                  <a:alpha val="50000"/>
                </a:schemeClr>
              </a:solidFill>
              <a:ln w="19050">
                <a:solidFill>
                  <a:schemeClr val="lt1"/>
                </a:solidFill>
              </a:ln>
              <a:effectLst/>
            </c:spPr>
            <c:extLst>
              <c:ext xmlns:c16="http://schemas.microsoft.com/office/drawing/2014/chart" uri="{C3380CC4-5D6E-409C-BE32-E72D297353CC}">
                <c16:uniqueId val="{0000002C-DCB1-48E2-9D1B-2B949ABF8B62}"/>
              </c:ext>
            </c:extLst>
          </c:dPt>
          <c:val>
            <c:numRef>
              <c:f>'q2 dashboard'!$B$6:$C$6</c:f>
              <c:numCache>
                <c:formatCode>0%</c:formatCode>
                <c:ptCount val="2"/>
                <c:pt idx="0">
                  <c:v>9.0439504053783218E-2</c:v>
                </c:pt>
                <c:pt idx="1">
                  <c:v>0.9095604959462168</c:v>
                </c:pt>
              </c:numCache>
            </c:numRef>
          </c:val>
          <c:extLst>
            <c:ext xmlns:c16="http://schemas.microsoft.com/office/drawing/2014/chart" uri="{C3380CC4-5D6E-409C-BE32-E72D297353CC}">
              <c16:uniqueId val="{0000002D-DCB1-48E2-9D1B-2B949ABF8B6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BCF6-4923-83EF-FCC2B7C44618}"/>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BCF6-4923-83EF-FCC2B7C44618}"/>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CF6-4923-83EF-FCC2B7C44618}"/>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CF6-4923-83EF-FCC2B7C44618}"/>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BCF6-4923-83EF-FCC2B7C44618}"/>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BCF6-4923-83EF-FCC2B7C44618}"/>
              </c:ext>
            </c:extLst>
          </c:dPt>
          <c:dPt>
            <c:idx val="6"/>
            <c:bubble3D val="0"/>
            <c:spPr>
              <a:solidFill>
                <a:srgbClr val="FF0000"/>
              </a:solidFill>
              <a:ln w="19050">
                <a:solidFill>
                  <a:schemeClr val="lt1"/>
                </a:solidFill>
              </a:ln>
              <a:effectLst/>
            </c:spPr>
            <c:extLst>
              <c:ext xmlns:c16="http://schemas.microsoft.com/office/drawing/2014/chart" uri="{C3380CC4-5D6E-409C-BE32-E72D297353CC}">
                <c16:uniqueId val="{0000000D-BCF6-4923-83EF-FCC2B7C44618}"/>
              </c:ext>
            </c:extLst>
          </c:dPt>
          <c:dPt>
            <c:idx val="7"/>
            <c:bubble3D val="0"/>
            <c:spPr>
              <a:solidFill>
                <a:srgbClr val="FF0000"/>
              </a:solidFill>
              <a:ln w="19050">
                <a:solidFill>
                  <a:schemeClr val="lt1"/>
                </a:solidFill>
              </a:ln>
              <a:effectLst/>
            </c:spPr>
            <c:extLst>
              <c:ext xmlns:c16="http://schemas.microsoft.com/office/drawing/2014/chart" uri="{C3380CC4-5D6E-409C-BE32-E72D297353CC}">
                <c16:uniqueId val="{0000000F-BCF6-4923-83EF-FCC2B7C44618}"/>
              </c:ext>
            </c:extLst>
          </c:dPt>
          <c:dPt>
            <c:idx val="8"/>
            <c:bubble3D val="0"/>
            <c:spPr>
              <a:solidFill>
                <a:srgbClr val="FF0000"/>
              </a:solidFill>
              <a:ln w="19050">
                <a:solidFill>
                  <a:schemeClr val="lt1"/>
                </a:solidFill>
              </a:ln>
              <a:effectLst/>
            </c:spPr>
            <c:extLst>
              <c:ext xmlns:c16="http://schemas.microsoft.com/office/drawing/2014/chart" uri="{C3380CC4-5D6E-409C-BE32-E72D297353CC}">
                <c16:uniqueId val="{00000011-BCF6-4923-83EF-FCC2B7C44618}"/>
              </c:ext>
            </c:extLst>
          </c:dPt>
          <c:dPt>
            <c:idx val="9"/>
            <c:bubble3D val="0"/>
            <c:spPr>
              <a:solidFill>
                <a:srgbClr val="FF0000"/>
              </a:solidFill>
              <a:ln w="19050">
                <a:solidFill>
                  <a:schemeClr val="lt1"/>
                </a:solidFill>
              </a:ln>
              <a:effectLst/>
            </c:spPr>
            <c:extLst>
              <c:ext xmlns:c16="http://schemas.microsoft.com/office/drawing/2014/chart" uri="{C3380CC4-5D6E-409C-BE32-E72D297353CC}">
                <c16:uniqueId val="{00000013-BCF6-4923-83EF-FCC2B7C44618}"/>
              </c:ext>
            </c:extLst>
          </c:dPt>
          <c:dPt>
            <c:idx val="10"/>
            <c:bubble3D val="0"/>
            <c:spPr>
              <a:solidFill>
                <a:srgbClr val="FF0000"/>
              </a:solidFill>
              <a:ln w="19050">
                <a:solidFill>
                  <a:schemeClr val="lt1"/>
                </a:solidFill>
              </a:ln>
              <a:effectLst/>
            </c:spPr>
            <c:extLst>
              <c:ext xmlns:c16="http://schemas.microsoft.com/office/drawing/2014/chart" uri="{C3380CC4-5D6E-409C-BE32-E72D297353CC}">
                <c16:uniqueId val="{00000015-BCF6-4923-83EF-FCC2B7C44618}"/>
              </c:ext>
            </c:extLst>
          </c:dPt>
          <c:dPt>
            <c:idx val="11"/>
            <c:bubble3D val="0"/>
            <c:spPr>
              <a:solidFill>
                <a:srgbClr val="FF0000"/>
              </a:solidFill>
              <a:ln w="19050">
                <a:solidFill>
                  <a:schemeClr val="lt1"/>
                </a:solidFill>
              </a:ln>
              <a:effectLst/>
            </c:spPr>
            <c:extLst>
              <c:ext xmlns:c16="http://schemas.microsoft.com/office/drawing/2014/chart" uri="{C3380CC4-5D6E-409C-BE32-E72D297353CC}">
                <c16:uniqueId val="{00000017-BCF6-4923-83EF-FCC2B7C44618}"/>
              </c:ext>
            </c:extLst>
          </c:dPt>
          <c:dPt>
            <c:idx val="12"/>
            <c:bubble3D val="0"/>
            <c:spPr>
              <a:solidFill>
                <a:srgbClr val="FF0000"/>
              </a:solidFill>
              <a:ln w="19050">
                <a:solidFill>
                  <a:schemeClr val="lt1"/>
                </a:solidFill>
              </a:ln>
              <a:effectLst/>
            </c:spPr>
            <c:extLst>
              <c:ext xmlns:c16="http://schemas.microsoft.com/office/drawing/2014/chart" uri="{C3380CC4-5D6E-409C-BE32-E72D297353CC}">
                <c16:uniqueId val="{00000019-BCF6-4923-83EF-FCC2B7C44618}"/>
              </c:ext>
            </c:extLst>
          </c:dPt>
          <c:dPt>
            <c:idx val="13"/>
            <c:bubble3D val="0"/>
            <c:spPr>
              <a:solidFill>
                <a:srgbClr val="FF0000"/>
              </a:solidFill>
              <a:ln w="19050">
                <a:solidFill>
                  <a:schemeClr val="lt1"/>
                </a:solidFill>
              </a:ln>
              <a:effectLst/>
            </c:spPr>
            <c:extLst>
              <c:ext xmlns:c16="http://schemas.microsoft.com/office/drawing/2014/chart" uri="{C3380CC4-5D6E-409C-BE32-E72D297353CC}">
                <c16:uniqueId val="{0000001B-BCF6-4923-83EF-FCC2B7C44618}"/>
              </c:ext>
            </c:extLst>
          </c:dPt>
          <c:dPt>
            <c:idx val="14"/>
            <c:bubble3D val="0"/>
            <c:spPr>
              <a:solidFill>
                <a:srgbClr val="FF0000"/>
              </a:solidFill>
              <a:ln w="19050">
                <a:solidFill>
                  <a:schemeClr val="lt1"/>
                </a:solidFill>
              </a:ln>
              <a:effectLst/>
            </c:spPr>
            <c:extLst>
              <c:ext xmlns:c16="http://schemas.microsoft.com/office/drawing/2014/chart" uri="{C3380CC4-5D6E-409C-BE32-E72D297353CC}">
                <c16:uniqueId val="{0000001D-BCF6-4923-83EF-FCC2B7C44618}"/>
              </c:ext>
            </c:extLst>
          </c:dPt>
          <c:dPt>
            <c:idx val="15"/>
            <c:bubble3D val="0"/>
            <c:spPr>
              <a:solidFill>
                <a:srgbClr val="FF0000"/>
              </a:solidFill>
              <a:ln w="19050">
                <a:solidFill>
                  <a:schemeClr val="lt1"/>
                </a:solidFill>
              </a:ln>
              <a:effectLst/>
            </c:spPr>
            <c:extLst>
              <c:ext xmlns:c16="http://schemas.microsoft.com/office/drawing/2014/chart" uri="{C3380CC4-5D6E-409C-BE32-E72D297353CC}">
                <c16:uniqueId val="{0000001F-BCF6-4923-83EF-FCC2B7C44618}"/>
              </c:ext>
            </c:extLst>
          </c:dPt>
          <c:dPt>
            <c:idx val="16"/>
            <c:bubble3D val="0"/>
            <c:spPr>
              <a:solidFill>
                <a:srgbClr val="FF0000"/>
              </a:solidFill>
              <a:ln w="19050">
                <a:solidFill>
                  <a:schemeClr val="lt1"/>
                </a:solidFill>
              </a:ln>
              <a:effectLst/>
            </c:spPr>
            <c:extLst>
              <c:ext xmlns:c16="http://schemas.microsoft.com/office/drawing/2014/chart" uri="{C3380CC4-5D6E-409C-BE32-E72D297353CC}">
                <c16:uniqueId val="{00000021-BCF6-4923-83EF-FCC2B7C44618}"/>
              </c:ext>
            </c:extLst>
          </c:dPt>
          <c:dPt>
            <c:idx val="17"/>
            <c:bubble3D val="0"/>
            <c:spPr>
              <a:solidFill>
                <a:srgbClr val="FF0000"/>
              </a:solidFill>
              <a:ln w="19050">
                <a:solidFill>
                  <a:schemeClr val="lt1"/>
                </a:solidFill>
              </a:ln>
              <a:effectLst/>
            </c:spPr>
            <c:extLst>
              <c:ext xmlns:c16="http://schemas.microsoft.com/office/drawing/2014/chart" uri="{C3380CC4-5D6E-409C-BE32-E72D297353CC}">
                <c16:uniqueId val="{00000023-BCF6-4923-83EF-FCC2B7C44618}"/>
              </c:ext>
            </c:extLst>
          </c:dPt>
          <c:dPt>
            <c:idx val="18"/>
            <c:bubble3D val="0"/>
            <c:spPr>
              <a:solidFill>
                <a:srgbClr val="FF0000"/>
              </a:solidFill>
              <a:ln w="19050">
                <a:solidFill>
                  <a:schemeClr val="lt1"/>
                </a:solidFill>
              </a:ln>
              <a:effectLst/>
            </c:spPr>
            <c:extLst>
              <c:ext xmlns:c16="http://schemas.microsoft.com/office/drawing/2014/chart" uri="{C3380CC4-5D6E-409C-BE32-E72D297353CC}">
                <c16:uniqueId val="{00000025-BCF6-4923-83EF-FCC2B7C44618}"/>
              </c:ext>
            </c:extLst>
          </c:dPt>
          <c:dPt>
            <c:idx val="19"/>
            <c:bubble3D val="0"/>
            <c:spPr>
              <a:solidFill>
                <a:srgbClr val="FF0000"/>
              </a:solidFill>
              <a:ln w="19050">
                <a:solidFill>
                  <a:schemeClr val="lt1"/>
                </a:solidFill>
              </a:ln>
              <a:effectLst/>
            </c:spPr>
            <c:extLst>
              <c:ext xmlns:c16="http://schemas.microsoft.com/office/drawing/2014/chart" uri="{C3380CC4-5D6E-409C-BE32-E72D297353CC}">
                <c16:uniqueId val="{00000027-BCF6-4923-83EF-FCC2B7C4461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BCF6-4923-83EF-FCC2B7C44618}"/>
            </c:ext>
          </c:extLst>
        </c:ser>
        <c:dLbls>
          <c:showLegendKey val="0"/>
          <c:showVal val="0"/>
          <c:showCatName val="0"/>
          <c:showSerName val="0"/>
          <c:showPercent val="0"/>
          <c:showBubbleSize val="0"/>
          <c:showLeaderLines val="1"/>
        </c:dLbls>
        <c:firstSliceAng val="10"/>
        <c:holeSize val="60"/>
      </c:doughnutChart>
      <c:doughnutChart>
        <c:varyColors val="1"/>
        <c:ser>
          <c:idx val="1"/>
          <c:order val="1"/>
          <c:tx>
            <c:strRef>
              <c:f>'q2 dashboard'!$A$5</c:f>
              <c:strCache>
                <c:ptCount val="1"/>
                <c:pt idx="0">
                  <c:v>Office Supplies</c:v>
                </c:pt>
              </c:strCache>
            </c:strRef>
          </c:tx>
          <c:dPt>
            <c:idx val="0"/>
            <c:bubble3D val="0"/>
            <c:spPr>
              <a:noFill/>
              <a:ln w="19050">
                <a:solidFill>
                  <a:schemeClr val="lt1"/>
                </a:solidFill>
              </a:ln>
              <a:effectLst/>
            </c:spPr>
            <c:extLst>
              <c:ext xmlns:c16="http://schemas.microsoft.com/office/drawing/2014/chart" uri="{C3380CC4-5D6E-409C-BE32-E72D297353CC}">
                <c16:uniqueId val="{0000002A-BCF6-4923-83EF-FCC2B7C44618}"/>
              </c:ext>
            </c:extLst>
          </c:dPt>
          <c:dPt>
            <c:idx val="1"/>
            <c:bubble3D val="0"/>
            <c:spPr>
              <a:solidFill>
                <a:schemeClr val="bg1">
                  <a:lumMod val="95000"/>
                  <a:alpha val="50000"/>
                </a:schemeClr>
              </a:solidFill>
              <a:ln w="19050">
                <a:solidFill>
                  <a:schemeClr val="lt1"/>
                </a:solidFill>
              </a:ln>
              <a:effectLst/>
            </c:spPr>
            <c:extLst>
              <c:ext xmlns:c16="http://schemas.microsoft.com/office/drawing/2014/chart" uri="{C3380CC4-5D6E-409C-BE32-E72D297353CC}">
                <c16:uniqueId val="{0000002C-BCF6-4923-83EF-FCC2B7C44618}"/>
              </c:ext>
            </c:extLst>
          </c:dPt>
          <c:val>
            <c:numRef>
              <c:f>'q2 dashboard'!$B$5:$C$5</c:f>
              <c:numCache>
                <c:formatCode>0%</c:formatCode>
                <c:ptCount val="2"/>
                <c:pt idx="0">
                  <c:v>0.774879880484588</c:v>
                </c:pt>
                <c:pt idx="1">
                  <c:v>0.225120119515412</c:v>
                </c:pt>
              </c:numCache>
            </c:numRef>
          </c:val>
          <c:extLst>
            <c:ext xmlns:c16="http://schemas.microsoft.com/office/drawing/2014/chart" uri="{C3380CC4-5D6E-409C-BE32-E72D297353CC}">
              <c16:uniqueId val="{0000002D-BCF6-4923-83EF-FCC2B7C4461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Project.xlsx]q3!PivotTable6</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1306897594412"/>
          <c:y val="0.28111411446703488"/>
          <c:w val="0.70314636756506499"/>
          <c:h val="0.47186479022211775"/>
        </c:manualLayout>
      </c:layout>
      <c:barChart>
        <c:barDir val="col"/>
        <c:grouping val="clustered"/>
        <c:varyColors val="0"/>
        <c:ser>
          <c:idx val="0"/>
          <c:order val="0"/>
          <c:tx>
            <c:strRef>
              <c:f>'q3'!$B$3</c:f>
              <c:strCache>
                <c:ptCount val="1"/>
                <c:pt idx="0">
                  <c:v>Sum of Sales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'q3'!$A$4:$A$17</c:f>
              <c:multiLvlStrCache>
                <c:ptCount val="12"/>
                <c:lvl>
                  <c:pt idx="0">
                    <c:v>Accessories</c:v>
                  </c:pt>
                  <c:pt idx="1">
                    <c:v>Appliances</c:v>
                  </c:pt>
                  <c:pt idx="2">
                    <c:v>Art</c:v>
                  </c:pt>
                  <c:pt idx="3">
                    <c:v>Binders</c:v>
                  </c:pt>
                  <c:pt idx="4">
                    <c:v>Chairs</c:v>
                  </c:pt>
                  <c:pt idx="5">
                    <c:v>Envelopes</c:v>
                  </c:pt>
                  <c:pt idx="6">
                    <c:v>Furnishings</c:v>
                  </c:pt>
                  <c:pt idx="7">
                    <c:v>Machines</c:v>
                  </c:pt>
                  <c:pt idx="8">
                    <c:v>Paper</c:v>
                  </c:pt>
                  <c:pt idx="9">
                    <c:v>Phones</c:v>
                  </c:pt>
                  <c:pt idx="10">
                    <c:v>Storage</c:v>
                  </c:pt>
                  <c:pt idx="11">
                    <c:v>Supplies</c:v>
                  </c:pt>
                </c:lvl>
                <c:lvl>
                  <c:pt idx="0">
                    <c:v>Central</c:v>
                  </c:pt>
                </c:lvl>
              </c:multiLvlStrCache>
            </c:multiLvlStrRef>
          </c:cat>
          <c:val>
            <c:numRef>
              <c:f>'q3'!$B$4:$B$17</c:f>
              <c:numCache>
                <c:formatCode>0.00%</c:formatCode>
                <c:ptCount val="12"/>
                <c:pt idx="0">
                  <c:v>7.8263337291878246E-2</c:v>
                </c:pt>
                <c:pt idx="1">
                  <c:v>2.0829009844007151E-2</c:v>
                </c:pt>
                <c:pt idx="2">
                  <c:v>1.6152745423158931E-2</c:v>
                </c:pt>
                <c:pt idx="3">
                  <c:v>0.22625412560264505</c:v>
                </c:pt>
                <c:pt idx="4">
                  <c:v>1.1734470607763474E-2</c:v>
                </c:pt>
                <c:pt idx="5">
                  <c:v>1.2513307152526537E-3</c:v>
                </c:pt>
                <c:pt idx="6">
                  <c:v>2.8258785965819787E-3</c:v>
                </c:pt>
                <c:pt idx="7">
                  <c:v>2.1301179499269756E-3</c:v>
                </c:pt>
                <c:pt idx="8">
                  <c:v>1.5366445028175224E-2</c:v>
                </c:pt>
                <c:pt idx="9">
                  <c:v>0.15906860235672696</c:v>
                </c:pt>
                <c:pt idx="10">
                  <c:v>0.45027201677613915</c:v>
                </c:pt>
                <c:pt idx="11">
                  <c:v>1.58519198077442E-2</c:v>
                </c:pt>
              </c:numCache>
            </c:numRef>
          </c:val>
          <c:extLst>
            <c:ext xmlns:c16="http://schemas.microsoft.com/office/drawing/2014/chart" uri="{C3380CC4-5D6E-409C-BE32-E72D297353CC}">
              <c16:uniqueId val="{00000000-7541-4F73-A41A-66EE186CD347}"/>
            </c:ext>
          </c:extLst>
        </c:ser>
        <c:dLbls>
          <c:showLegendKey val="0"/>
          <c:showVal val="0"/>
          <c:showCatName val="0"/>
          <c:showSerName val="0"/>
          <c:showPercent val="0"/>
          <c:showBubbleSize val="0"/>
        </c:dLbls>
        <c:gapWidth val="150"/>
        <c:axId val="426073567"/>
        <c:axId val="426073983"/>
      </c:barChart>
      <c:lineChart>
        <c:grouping val="standard"/>
        <c:varyColors val="0"/>
        <c:ser>
          <c:idx val="1"/>
          <c:order val="1"/>
          <c:tx>
            <c:strRef>
              <c:f>'q3'!$C$3</c:f>
              <c:strCache>
                <c:ptCount val="1"/>
                <c:pt idx="0">
                  <c:v>Sum of Quantity</c:v>
                </c:pt>
              </c:strCache>
            </c:strRef>
          </c:tx>
          <c:spPr>
            <a:ln w="28575" cap="rnd">
              <a:solidFill>
                <a:schemeClr val="accent2"/>
              </a:solidFill>
              <a:round/>
            </a:ln>
            <a:effectLst/>
          </c:spPr>
          <c:marker>
            <c:symbol val="circle"/>
            <c:size val="6"/>
            <c:spPr>
              <a:solidFill>
                <a:schemeClr val="accent2"/>
              </a:solidFill>
              <a:ln>
                <a:noFill/>
              </a:ln>
              <a:effectLst/>
            </c:spPr>
          </c:marker>
          <c:cat>
            <c:multiLvlStrRef>
              <c:f>'q3'!$A$4:$A$17</c:f>
              <c:multiLvlStrCache>
                <c:ptCount val="12"/>
                <c:lvl>
                  <c:pt idx="0">
                    <c:v>Accessories</c:v>
                  </c:pt>
                  <c:pt idx="1">
                    <c:v>Appliances</c:v>
                  </c:pt>
                  <c:pt idx="2">
                    <c:v>Art</c:v>
                  </c:pt>
                  <c:pt idx="3">
                    <c:v>Binders</c:v>
                  </c:pt>
                  <c:pt idx="4">
                    <c:v>Chairs</c:v>
                  </c:pt>
                  <c:pt idx="5">
                    <c:v>Envelopes</c:v>
                  </c:pt>
                  <c:pt idx="6">
                    <c:v>Furnishings</c:v>
                  </c:pt>
                  <c:pt idx="7">
                    <c:v>Machines</c:v>
                  </c:pt>
                  <c:pt idx="8">
                    <c:v>Paper</c:v>
                  </c:pt>
                  <c:pt idx="9">
                    <c:v>Phones</c:v>
                  </c:pt>
                  <c:pt idx="10">
                    <c:v>Storage</c:v>
                  </c:pt>
                  <c:pt idx="11">
                    <c:v>Supplies</c:v>
                  </c:pt>
                </c:lvl>
                <c:lvl>
                  <c:pt idx="0">
                    <c:v>Central</c:v>
                  </c:pt>
                </c:lvl>
              </c:multiLvlStrCache>
            </c:multiLvlStrRef>
          </c:cat>
          <c:val>
            <c:numRef>
              <c:f>'q3'!$C$4:$C$17</c:f>
              <c:numCache>
                <c:formatCode>General</c:formatCode>
                <c:ptCount val="12"/>
                <c:pt idx="0">
                  <c:v>2</c:v>
                </c:pt>
                <c:pt idx="1">
                  <c:v>19</c:v>
                </c:pt>
                <c:pt idx="2">
                  <c:v>8</c:v>
                </c:pt>
                <c:pt idx="3">
                  <c:v>6</c:v>
                </c:pt>
                <c:pt idx="4">
                  <c:v>11</c:v>
                </c:pt>
                <c:pt idx="5">
                  <c:v>9</c:v>
                </c:pt>
                <c:pt idx="6">
                  <c:v>15</c:v>
                </c:pt>
                <c:pt idx="7">
                  <c:v>4</c:v>
                </c:pt>
                <c:pt idx="8">
                  <c:v>10</c:v>
                </c:pt>
                <c:pt idx="9">
                  <c:v>20</c:v>
                </c:pt>
                <c:pt idx="10">
                  <c:v>11</c:v>
                </c:pt>
                <c:pt idx="11">
                  <c:v>3</c:v>
                </c:pt>
              </c:numCache>
            </c:numRef>
          </c:val>
          <c:smooth val="0"/>
          <c:extLst>
            <c:ext xmlns:c16="http://schemas.microsoft.com/office/drawing/2014/chart" uri="{C3380CC4-5D6E-409C-BE32-E72D297353CC}">
              <c16:uniqueId val="{00000001-7541-4F73-A41A-66EE186CD347}"/>
            </c:ext>
          </c:extLst>
        </c:ser>
        <c:dLbls>
          <c:showLegendKey val="0"/>
          <c:showVal val="0"/>
          <c:showCatName val="0"/>
          <c:showSerName val="0"/>
          <c:showPercent val="0"/>
          <c:showBubbleSize val="0"/>
        </c:dLbls>
        <c:marker val="1"/>
        <c:smooth val="0"/>
        <c:axId val="426088543"/>
        <c:axId val="426074399"/>
      </c:lineChart>
      <c:catAx>
        <c:axId val="42607356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73983"/>
        <c:crosses val="autoZero"/>
        <c:auto val="1"/>
        <c:lblAlgn val="ctr"/>
        <c:lblOffset val="100"/>
        <c:noMultiLvlLbl val="0"/>
      </c:catAx>
      <c:valAx>
        <c:axId val="426073983"/>
        <c:scaling>
          <c:orientation val="minMax"/>
        </c:scaling>
        <c:delete val="0"/>
        <c:axPos val="l"/>
        <c:majorGridlines>
          <c:spPr>
            <a:ln>
              <a:solidFill>
                <a:schemeClr val="tx1">
                  <a:lumMod val="15000"/>
                  <a:lumOff val="85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73567"/>
        <c:crosses val="autoZero"/>
        <c:crossBetween val="between"/>
      </c:valAx>
      <c:valAx>
        <c:axId val="42607439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88543"/>
        <c:crosses val="max"/>
        <c:crossBetween val="between"/>
      </c:valAx>
      <c:catAx>
        <c:axId val="426088543"/>
        <c:scaling>
          <c:orientation val="minMax"/>
        </c:scaling>
        <c:delete val="1"/>
        <c:axPos val="b"/>
        <c:numFmt formatCode="General" sourceLinked="1"/>
        <c:majorTickMark val="none"/>
        <c:minorTickMark val="none"/>
        <c:tickLblPos val="nextTo"/>
        <c:crossAx val="426074399"/>
        <c:crosses val="autoZero"/>
        <c:auto val="1"/>
        <c:lblAlgn val="ctr"/>
        <c:lblOffset val="100"/>
        <c:noMultiLvlLbl val="0"/>
      </c:catAx>
      <c:spPr>
        <a:noFill/>
        <a:ln>
          <a:noFill/>
        </a:ln>
        <a:effectLst/>
      </c:spPr>
    </c:plotArea>
    <c:legend>
      <c:legendPos val="r"/>
      <c:layout>
        <c:manualLayout>
          <c:xMode val="edge"/>
          <c:yMode val="edge"/>
          <c:x val="0.83042425629064076"/>
          <c:y val="0.4539328039245184"/>
          <c:w val="0.16957574370935921"/>
          <c:h val="0.16577511249110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Project.xlsx]q4!PivotTable8</c:name>
    <c:fmtId val="4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'q4'!$B$4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'q4'!$A$5:$A$17</c:f>
              <c:strCache>
                <c:ptCount val="12"/>
                <c:pt idx="0">
                  <c:v>Arizona</c:v>
                </c:pt>
                <c:pt idx="1">
                  <c:v>California</c:v>
                </c:pt>
                <c:pt idx="2">
                  <c:v>Colorado</c:v>
                </c:pt>
                <c:pt idx="3">
                  <c:v>Connecticut</c:v>
                </c:pt>
                <c:pt idx="4">
                  <c:v>Iowa</c:v>
                </c:pt>
                <c:pt idx="5">
                  <c:v>Michigan</c:v>
                </c:pt>
                <c:pt idx="6">
                  <c:v>Minnesota</c:v>
                </c:pt>
                <c:pt idx="7">
                  <c:v>Nebraska</c:v>
                </c:pt>
                <c:pt idx="8">
                  <c:v>New Jersey</c:v>
                </c:pt>
                <c:pt idx="9">
                  <c:v>New York</c:v>
                </c:pt>
                <c:pt idx="10">
                  <c:v>Pennsylvania</c:v>
                </c:pt>
                <c:pt idx="11">
                  <c:v>Texas</c:v>
                </c:pt>
              </c:strCache>
            </c:strRef>
          </c:cat>
          <c:val>
            <c:numRef>
              <c:f>'q4'!$B$5:$B$17</c:f>
              <c:numCache>
                <c:formatCode>0</c:formatCode>
                <c:ptCount val="12"/>
                <c:pt idx="0">
                  <c:v>77.349999999999994</c:v>
                </c:pt>
                <c:pt idx="1">
                  <c:v>918.11999999999989</c:v>
                </c:pt>
                <c:pt idx="2">
                  <c:v>801.5680000000001</c:v>
                </c:pt>
                <c:pt idx="3">
                  <c:v>381.57600000000002</c:v>
                </c:pt>
                <c:pt idx="4">
                  <c:v>1336.829</c:v>
                </c:pt>
                <c:pt idx="5">
                  <c:v>97.696000000000012</c:v>
                </c:pt>
                <c:pt idx="6">
                  <c:v>13.36</c:v>
                </c:pt>
                <c:pt idx="7">
                  <c:v>7.16</c:v>
                </c:pt>
                <c:pt idx="8">
                  <c:v>3.2820000000000005</c:v>
                </c:pt>
                <c:pt idx="9">
                  <c:v>97.82</c:v>
                </c:pt>
                <c:pt idx="10">
                  <c:v>7.3</c:v>
                </c:pt>
                <c:pt idx="11">
                  <c:v>2743.6640000000002</c:v>
                </c:pt>
              </c:numCache>
            </c:numRef>
          </c:val>
          <c:smooth val="0"/>
          <c:extLst>
            <c:ext xmlns:c16="http://schemas.microsoft.com/office/drawing/2014/chart" uri="{C3380CC4-5D6E-409C-BE32-E72D297353CC}">
              <c16:uniqueId val="{00000000-17B4-4532-A396-7B547E6F41FD}"/>
            </c:ext>
          </c:extLst>
        </c:ser>
        <c:dLbls>
          <c:dLblPos val="ctr"/>
          <c:showLegendKey val="0"/>
          <c:showVal val="1"/>
          <c:showCatName val="0"/>
          <c:showSerName val="0"/>
          <c:showPercent val="0"/>
          <c:showBubbleSize val="0"/>
        </c:dLbls>
        <c:marker val="1"/>
        <c:smooth val="0"/>
        <c:axId val="641417759"/>
        <c:axId val="641428991"/>
      </c:lineChart>
      <c:catAx>
        <c:axId val="6414177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1428991"/>
        <c:crosses val="autoZero"/>
        <c:auto val="1"/>
        <c:lblAlgn val="ctr"/>
        <c:lblOffset val="100"/>
        <c:noMultiLvlLbl val="0"/>
      </c:catAx>
      <c:valAx>
        <c:axId val="641428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414177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Project.xlsx]q5!PivotTable9</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'q5'!$A$4:$A$12</c:f>
              <c:strCache>
                <c:ptCount val="8"/>
                <c:pt idx="0">
                  <c:v>United States</c:v>
                </c:pt>
                <c:pt idx="1">
                  <c:v>Canada</c:v>
                </c:pt>
                <c:pt idx="2">
                  <c:v>India</c:v>
                </c:pt>
                <c:pt idx="3">
                  <c:v>Germany</c:v>
                </c:pt>
                <c:pt idx="4">
                  <c:v>United Kingdom</c:v>
                </c:pt>
                <c:pt idx="5">
                  <c:v>France</c:v>
                </c:pt>
                <c:pt idx="6">
                  <c:v>Austrailia</c:v>
                </c:pt>
                <c:pt idx="7">
                  <c:v>New Zealand</c:v>
                </c:pt>
              </c:strCache>
            </c:strRef>
          </c:cat>
          <c:val>
            <c:numRef>
              <c:f>'q5'!$B$4:$B$12</c:f>
              <c:numCache>
                <c:formatCode>"₹"\ #,##0</c:formatCode>
                <c:ptCount val="8"/>
                <c:pt idx="0">
                  <c:v>26576.588</c:v>
                </c:pt>
                <c:pt idx="1">
                  <c:v>17223.675900000002</c:v>
                </c:pt>
                <c:pt idx="2">
                  <c:v>10024.403999999999</c:v>
                </c:pt>
                <c:pt idx="3">
                  <c:v>9655.0216</c:v>
                </c:pt>
                <c:pt idx="4">
                  <c:v>8926.7079999999987</c:v>
                </c:pt>
                <c:pt idx="5">
                  <c:v>8051.4040000000005</c:v>
                </c:pt>
                <c:pt idx="6">
                  <c:v>6862.3400000000011</c:v>
                </c:pt>
                <c:pt idx="7">
                  <c:v>5393.3859999999986</c:v>
                </c:pt>
              </c:numCache>
            </c:numRef>
          </c:val>
          <c:extLst>
            <c:ext xmlns:c16="http://schemas.microsoft.com/office/drawing/2014/chart" uri="{C3380CC4-5D6E-409C-BE32-E72D297353CC}">
              <c16:uniqueId val="{00000000-3DC6-4A14-9F6F-12167849E712}"/>
            </c:ext>
          </c:extLst>
        </c:ser>
        <c:dLbls>
          <c:dLblPos val="inEnd"/>
          <c:showLegendKey val="0"/>
          <c:showVal val="1"/>
          <c:showCatName val="0"/>
          <c:showSerName val="0"/>
          <c:showPercent val="0"/>
          <c:showBubbleSize val="0"/>
        </c:dLbls>
        <c:gapWidth val="65"/>
        <c:axId val="696576079"/>
        <c:axId val="696571919"/>
      </c:barChart>
      <c:catAx>
        <c:axId val="6965760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6571919"/>
        <c:crosses val="autoZero"/>
        <c:auto val="1"/>
        <c:lblAlgn val="ctr"/>
        <c:lblOffset val="100"/>
        <c:noMultiLvlLbl val="0"/>
      </c:catAx>
      <c:valAx>
        <c:axId val="6965719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965760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Project.xlsx]q6!PivotTable10</c:name>
    <c:fmtId val="2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'q6'!$B$4:$B$5</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'q6'!$A$6:$A$15</c:f>
              <c:strCache>
                <c:ptCount val="9"/>
                <c:pt idx="0">
                  <c:v>Accessories</c:v>
                </c:pt>
                <c:pt idx="1">
                  <c:v>Appliances</c:v>
                </c:pt>
                <c:pt idx="2">
                  <c:v>Art</c:v>
                </c:pt>
                <c:pt idx="3">
                  <c:v>Binders</c:v>
                </c:pt>
                <c:pt idx="4">
                  <c:v>Chairs</c:v>
                </c:pt>
                <c:pt idx="5">
                  <c:v>Furnishings</c:v>
                </c:pt>
                <c:pt idx="6">
                  <c:v>Paper</c:v>
                </c:pt>
                <c:pt idx="7">
                  <c:v>Storage</c:v>
                </c:pt>
                <c:pt idx="8">
                  <c:v>Tables</c:v>
                </c:pt>
              </c:strCache>
            </c:strRef>
          </c:cat>
          <c:val>
            <c:numRef>
              <c:f>'q6'!$B$6:$B$15</c:f>
              <c:numCache>
                <c:formatCode>[$$-C09]#,##0</c:formatCode>
                <c:ptCount val="9"/>
                <c:pt idx="4">
                  <c:v>23.2</c:v>
                </c:pt>
                <c:pt idx="5">
                  <c:v>30.376000000000005</c:v>
                </c:pt>
                <c:pt idx="8">
                  <c:v>205.67200000000003</c:v>
                </c:pt>
              </c:numCache>
            </c:numRef>
          </c:val>
          <c:extLst>
            <c:ext xmlns:c16="http://schemas.microsoft.com/office/drawing/2014/chart" uri="{C3380CC4-5D6E-409C-BE32-E72D297353CC}">
              <c16:uniqueId val="{00000000-EF8A-4CF0-A51E-4F539E3EA7F0}"/>
            </c:ext>
          </c:extLst>
        </c:ser>
        <c:ser>
          <c:idx val="1"/>
          <c:order val="1"/>
          <c:tx>
            <c:strRef>
              <c:f>'q6'!$C$4:$C$5</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'q6'!$A$6:$A$15</c:f>
              <c:strCache>
                <c:ptCount val="9"/>
                <c:pt idx="0">
                  <c:v>Accessories</c:v>
                </c:pt>
                <c:pt idx="1">
                  <c:v>Appliances</c:v>
                </c:pt>
                <c:pt idx="2">
                  <c:v>Art</c:v>
                </c:pt>
                <c:pt idx="3">
                  <c:v>Binders</c:v>
                </c:pt>
                <c:pt idx="4">
                  <c:v>Chairs</c:v>
                </c:pt>
                <c:pt idx="5">
                  <c:v>Furnishings</c:v>
                </c:pt>
                <c:pt idx="6">
                  <c:v>Paper</c:v>
                </c:pt>
                <c:pt idx="7">
                  <c:v>Storage</c:v>
                </c:pt>
                <c:pt idx="8">
                  <c:v>Tables</c:v>
                </c:pt>
              </c:strCache>
            </c:strRef>
          </c:cat>
          <c:val>
            <c:numRef>
              <c:f>'q6'!$C$6:$C$15</c:f>
              <c:numCache>
                <c:formatCode>[$$-C09]#,##0</c:formatCode>
                <c:ptCount val="9"/>
                <c:pt idx="1">
                  <c:v>13</c:v>
                </c:pt>
                <c:pt idx="2">
                  <c:v>520.49800000000005</c:v>
                </c:pt>
                <c:pt idx="3">
                  <c:v>903.16200000000003</c:v>
                </c:pt>
                <c:pt idx="6">
                  <c:v>668.06400000000008</c:v>
                </c:pt>
                <c:pt idx="7">
                  <c:v>8.6899999999999977</c:v>
                </c:pt>
              </c:numCache>
            </c:numRef>
          </c:val>
          <c:extLst>
            <c:ext xmlns:c16="http://schemas.microsoft.com/office/drawing/2014/chart" uri="{C3380CC4-5D6E-409C-BE32-E72D297353CC}">
              <c16:uniqueId val="{00000001-EF8A-4CF0-A51E-4F539E3EA7F0}"/>
            </c:ext>
          </c:extLst>
        </c:ser>
        <c:ser>
          <c:idx val="2"/>
          <c:order val="2"/>
          <c:tx>
            <c:strRef>
              <c:f>'q6'!$D$4:$D$5</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'q6'!$A$6:$A$15</c:f>
              <c:strCache>
                <c:ptCount val="9"/>
                <c:pt idx="0">
                  <c:v>Accessories</c:v>
                </c:pt>
                <c:pt idx="1">
                  <c:v>Appliances</c:v>
                </c:pt>
                <c:pt idx="2">
                  <c:v>Art</c:v>
                </c:pt>
                <c:pt idx="3">
                  <c:v>Binders</c:v>
                </c:pt>
                <c:pt idx="4">
                  <c:v>Chairs</c:v>
                </c:pt>
                <c:pt idx="5">
                  <c:v>Furnishings</c:v>
                </c:pt>
                <c:pt idx="6">
                  <c:v>Paper</c:v>
                </c:pt>
                <c:pt idx="7">
                  <c:v>Storage</c:v>
                </c:pt>
                <c:pt idx="8">
                  <c:v>Tables</c:v>
                </c:pt>
              </c:strCache>
            </c:strRef>
          </c:cat>
          <c:val>
            <c:numRef>
              <c:f>'q6'!$D$6:$D$15</c:f>
              <c:numCache>
                <c:formatCode>[$$-C09]#,##0</c:formatCode>
                <c:ptCount val="9"/>
                <c:pt idx="0">
                  <c:v>341.77799999999996</c:v>
                </c:pt>
              </c:numCache>
            </c:numRef>
          </c:val>
          <c:extLst>
            <c:ext xmlns:c16="http://schemas.microsoft.com/office/drawing/2014/chart" uri="{C3380CC4-5D6E-409C-BE32-E72D297353CC}">
              <c16:uniqueId val="{00000002-EF8A-4CF0-A51E-4F539E3EA7F0}"/>
            </c:ext>
          </c:extLst>
        </c:ser>
        <c:dLbls>
          <c:dLblPos val="inEnd"/>
          <c:showLegendKey val="0"/>
          <c:showVal val="1"/>
          <c:showCatName val="0"/>
          <c:showSerName val="0"/>
          <c:showPercent val="0"/>
          <c:showBubbleSize val="0"/>
        </c:dLbls>
        <c:gapWidth val="115"/>
        <c:overlap val="-20"/>
        <c:axId val="696546543"/>
        <c:axId val="696532815"/>
      </c:barChart>
      <c:catAx>
        <c:axId val="696546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532815"/>
        <c:crosses val="autoZero"/>
        <c:auto val="1"/>
        <c:lblAlgn val="ctr"/>
        <c:lblOffset val="100"/>
        <c:noMultiLvlLbl val="0"/>
      </c:catAx>
      <c:valAx>
        <c:axId val="696532815"/>
        <c:scaling>
          <c:orientation val="minMax"/>
        </c:scaling>
        <c:delete val="0"/>
        <c:axPos val="b"/>
        <c:majorGridlines>
          <c:spPr>
            <a:ln w="9525" cap="flat" cmpd="sng" algn="ctr">
              <a:solidFill>
                <a:schemeClr val="lt1">
                  <a:lumMod val="95000"/>
                  <a:alpha val="10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5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Project.xlsx]q7!PivotTable11</c:name>
    <c:fmtId val="9"/>
  </c:pivotSource>
  <c:chart>
    <c:title>
      <c:layout>
        <c:manualLayout>
          <c:xMode val="edge"/>
          <c:yMode val="edge"/>
          <c:x val="0.39079538534619324"/>
          <c:y val="0.1167449813070523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928979965791309"/>
          <c:y val="0.23565689668512835"/>
          <c:w val="0.57472895481593367"/>
          <c:h val="0.77340077305244415"/>
        </c:manualLayout>
      </c:layout>
      <c:pieChart>
        <c:varyColors val="1"/>
        <c:ser>
          <c:idx val="0"/>
          <c:order val="0"/>
          <c:tx>
            <c:strRef>
              <c:f>'q7'!$B$3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7C3-4DF2-BC1F-FB257258C4B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7C3-4DF2-BC1F-FB257258C4B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7C3-4DF2-BC1F-FB257258C4B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7C3-4DF2-BC1F-FB257258C4B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'q7'!$A$4:$A$8</c:f>
              <c:strCache>
                <c:ptCount val="4"/>
                <c:pt idx="0">
                  <c:v>Central</c:v>
                </c:pt>
                <c:pt idx="1">
                  <c:v>East</c:v>
                </c:pt>
                <c:pt idx="2">
                  <c:v>South</c:v>
                </c:pt>
                <c:pt idx="3">
                  <c:v>West</c:v>
                </c:pt>
              </c:strCache>
            </c:strRef>
          </c:cat>
          <c:val>
            <c:numRef>
              <c:f>'q7'!$B$4:$B$8</c:f>
              <c:numCache>
                <c:formatCode>0.00%</c:formatCode>
                <c:ptCount val="4"/>
                <c:pt idx="0">
                  <c:v>0.38763451062943993</c:v>
                </c:pt>
                <c:pt idx="1">
                  <c:v>0.23138704185896566</c:v>
                </c:pt>
                <c:pt idx="2">
                  <c:v>0.1015606786916531</c:v>
                </c:pt>
                <c:pt idx="3">
                  <c:v>0.27941776881994118</c:v>
                </c:pt>
              </c:numCache>
            </c:numRef>
          </c:val>
          <c:extLst>
            <c:ext xmlns:c16="http://schemas.microsoft.com/office/drawing/2014/chart" uri="{C3380CC4-5D6E-409C-BE32-E72D297353CC}">
              <c16:uniqueId val="{00000008-57C3-4DF2-BC1F-FB257258C4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Project.xlsx]q8!PivotTable12</c:name>
    <c:fmtId val="8"/>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'q8'!$B$3</c:f>
              <c:strCache>
                <c:ptCount val="1"/>
                <c:pt idx="0">
                  <c:v>Sum of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'q8'!$A$4:$A$8</c:f>
              <c:strCache>
                <c:ptCount val="4"/>
                <c:pt idx="0">
                  <c:v>Central</c:v>
                </c:pt>
                <c:pt idx="1">
                  <c:v>East</c:v>
                </c:pt>
                <c:pt idx="2">
                  <c:v>South</c:v>
                </c:pt>
                <c:pt idx="3">
                  <c:v>West</c:v>
                </c:pt>
              </c:strCache>
            </c:strRef>
          </c:cat>
          <c:val>
            <c:numRef>
              <c:f>'q8'!$B$4:$B$8</c:f>
              <c:numCache>
                <c:formatCode>General</c:formatCode>
                <c:ptCount val="4"/>
                <c:pt idx="0">
                  <c:v>1783.682</c:v>
                </c:pt>
                <c:pt idx="1">
                  <c:v>3659.259</c:v>
                </c:pt>
                <c:pt idx="2">
                  <c:v>2452.5080000000003</c:v>
                </c:pt>
                <c:pt idx="3">
                  <c:v>3521.1370000000002</c:v>
                </c:pt>
              </c:numCache>
            </c:numRef>
          </c:val>
          <c:extLst>
            <c:ext xmlns:c16="http://schemas.microsoft.com/office/drawing/2014/chart" uri="{C3380CC4-5D6E-409C-BE32-E72D297353CC}">
              <c16:uniqueId val="{00000000-35A0-464E-83E6-DC9CC5A5E541}"/>
            </c:ext>
          </c:extLst>
        </c:ser>
        <c:ser>
          <c:idx val="1"/>
          <c:order val="1"/>
          <c:tx>
            <c:strRef>
              <c:f>'q8'!$C$3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'q8'!$A$4:$A$8</c:f>
              <c:strCache>
                <c:ptCount val="4"/>
                <c:pt idx="0">
                  <c:v>Central</c:v>
                </c:pt>
                <c:pt idx="1">
                  <c:v>East</c:v>
                </c:pt>
                <c:pt idx="2">
                  <c:v>South</c:v>
                </c:pt>
                <c:pt idx="3">
                  <c:v>West</c:v>
                </c:pt>
              </c:strCache>
            </c:strRef>
          </c:cat>
          <c:val>
            <c:numRef>
              <c:f>'q8'!$C$4:$C$8</c:f>
              <c:numCache>
                <c:formatCode>0</c:formatCode>
                <c:ptCount val="4"/>
                <c:pt idx="0">
                  <c:v>1101.5439999999999</c:v>
                </c:pt>
                <c:pt idx="1">
                  <c:v>5372.4640000000018</c:v>
                </c:pt>
                <c:pt idx="2">
                  <c:v>419.09</c:v>
                </c:pt>
                <c:pt idx="3">
                  <c:v>2033.61</c:v>
                </c:pt>
              </c:numCache>
            </c:numRef>
          </c:val>
          <c:extLst>
            <c:ext xmlns:c16="http://schemas.microsoft.com/office/drawing/2014/chart" uri="{C3380CC4-5D6E-409C-BE32-E72D297353CC}">
              <c16:uniqueId val="{00000001-35A0-464E-83E6-DC9CC5A5E541}"/>
            </c:ext>
          </c:extLst>
        </c:ser>
        <c:dLbls>
          <c:dLblPos val="inEnd"/>
          <c:showLegendKey val="0"/>
          <c:showVal val="1"/>
          <c:showCatName val="0"/>
          <c:showSerName val="0"/>
          <c:showPercent val="0"/>
          <c:showBubbleSize val="0"/>
        </c:dLbls>
        <c:gapWidth val="65"/>
        <c:axId val="529624207"/>
        <c:axId val="529633359"/>
      </c:barChart>
      <c:catAx>
        <c:axId val="5296242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9633359"/>
        <c:crosses val="autoZero"/>
        <c:auto val="1"/>
        <c:lblAlgn val="ctr"/>
        <c:lblOffset val="100"/>
        <c:noMultiLvlLbl val="0"/>
      </c:catAx>
      <c:valAx>
        <c:axId val="529633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9624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Project.xlsx]q9!PivotTable13</c:name>
    <c:fmtId val="2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'q9'!$B$3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9B9-416B-8F97-6D14BC620E3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9B9-416B-8F97-6D14BC620E36}"/>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9B9-416B-8F97-6D14BC620E36}"/>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69B9-416B-8F97-6D14BC620E36}"/>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69B9-416B-8F97-6D14BC620E36}"/>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69B9-416B-8F97-6D14BC620E36}"/>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69B9-416B-8F97-6D14BC620E36}"/>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69B9-416B-8F97-6D14BC620E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'q9'!$A$4:$A$12</c:f>
              <c:strCache>
                <c:ptCount val="8"/>
                <c:pt idx="0">
                  <c:v>Austrailia</c:v>
                </c:pt>
                <c:pt idx="1">
                  <c:v>Canada</c:v>
                </c:pt>
                <c:pt idx="2">
                  <c:v>France</c:v>
                </c:pt>
                <c:pt idx="3">
                  <c:v>Germany</c:v>
                </c:pt>
                <c:pt idx="4">
                  <c:v>India</c:v>
                </c:pt>
                <c:pt idx="5">
                  <c:v>New Zealand</c:v>
                </c:pt>
                <c:pt idx="6">
                  <c:v>United Kingdom</c:v>
                </c:pt>
                <c:pt idx="7">
                  <c:v>United States</c:v>
                </c:pt>
              </c:strCache>
            </c:strRef>
          </c:cat>
          <c:val>
            <c:numRef>
              <c:f>'q9'!$B$4:$B$12</c:f>
              <c:numCache>
                <c:formatCode>0.00%</c:formatCode>
                <c:ptCount val="8"/>
                <c:pt idx="0">
                  <c:v>6.7500000000000004E-2</c:v>
                </c:pt>
                <c:pt idx="1">
                  <c:v>0.2</c:v>
                </c:pt>
                <c:pt idx="2">
                  <c:v>6.7500000000000004E-2</c:v>
                </c:pt>
                <c:pt idx="3">
                  <c:v>6.7500000000000004E-2</c:v>
                </c:pt>
                <c:pt idx="4">
                  <c:v>6.5000000000000002E-2</c:v>
                </c:pt>
                <c:pt idx="5">
                  <c:v>6.7500000000000004E-2</c:v>
                </c:pt>
                <c:pt idx="6">
                  <c:v>0.13250000000000001</c:v>
                </c:pt>
                <c:pt idx="7">
                  <c:v>0.33250000000000002</c:v>
                </c:pt>
              </c:numCache>
            </c:numRef>
          </c:val>
          <c:extLst>
            <c:ext xmlns:c16="http://schemas.microsoft.com/office/drawing/2014/chart" uri="{C3380CC4-5D6E-409C-BE32-E72D297353CC}">
              <c16:uniqueId val="{00000010-69B9-416B-8F97-6D14BC620E36}"/>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Project.xlsx]q!PivotTable3</c:name>
    <c:fmtId val="5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1710909270042"/>
          <c:y val="0.14356276168670895"/>
          <c:w val="0.69573123359580058"/>
          <c:h val="0.77502301484502534"/>
        </c:manualLayout>
      </c:layout>
      <c:barChart>
        <c:barDir val="col"/>
        <c:grouping val="clustered"/>
        <c:varyColors val="0"/>
        <c:ser>
          <c:idx val="0"/>
          <c:order val="0"/>
          <c:tx>
            <c:strRef>
              <c:f>q!$B$3:$B$4</c:f>
              <c:strCache>
                <c:ptCount val="1"/>
                <c:pt idx="0">
                  <c:v>Austrailia</c:v>
                </c:pt>
              </c:strCache>
            </c:strRef>
          </c:tx>
          <c:spPr>
            <a:solidFill>
              <a:schemeClr val="accent1"/>
            </a:solidFill>
            <a:ln>
              <a:noFill/>
            </a:ln>
            <a:effectLst/>
          </c:spPr>
          <c:invertIfNegative val="0"/>
          <c:cat>
            <c:strRef>
              <c:f>q!$A$5:$A$8</c:f>
              <c:strCache>
                <c:ptCount val="3"/>
                <c:pt idx="0">
                  <c:v>Furniture</c:v>
                </c:pt>
                <c:pt idx="1">
                  <c:v>Office Supplies</c:v>
                </c:pt>
                <c:pt idx="2">
                  <c:v>Technology</c:v>
                </c:pt>
              </c:strCache>
            </c:strRef>
          </c:cat>
          <c:val>
            <c:numRef>
              <c:f>q!$B$5:$B$8</c:f>
              <c:numCache>
                <c:formatCode>0.00</c:formatCode>
                <c:ptCount val="3"/>
                <c:pt idx="0">
                  <c:v>259.24800000000005</c:v>
                </c:pt>
                <c:pt idx="1">
                  <c:v>2113.4140000000002</c:v>
                </c:pt>
                <c:pt idx="2">
                  <c:v>341.77799999999996</c:v>
                </c:pt>
              </c:numCache>
            </c:numRef>
          </c:val>
          <c:extLst>
            <c:ext xmlns:c16="http://schemas.microsoft.com/office/drawing/2014/chart" uri="{C3380CC4-5D6E-409C-BE32-E72D297353CC}">
              <c16:uniqueId val="{00000000-D2B3-4F4D-B26C-61120D97F670}"/>
            </c:ext>
          </c:extLst>
        </c:ser>
        <c:ser>
          <c:idx val="1"/>
          <c:order val="1"/>
          <c:tx>
            <c:strRef>
              <c:f>q!$C$3:$C$4</c:f>
              <c:strCache>
                <c:ptCount val="1"/>
                <c:pt idx="0">
                  <c:v>Canada</c:v>
                </c:pt>
              </c:strCache>
            </c:strRef>
          </c:tx>
          <c:spPr>
            <a:solidFill>
              <a:schemeClr val="accent2"/>
            </a:solidFill>
            <a:ln>
              <a:noFill/>
            </a:ln>
            <a:effectLst/>
          </c:spPr>
          <c:invertIfNegative val="0"/>
          <c:cat>
            <c:strRef>
              <c:f>q!$A$5:$A$8</c:f>
              <c:strCache>
                <c:ptCount val="3"/>
                <c:pt idx="0">
                  <c:v>Furniture</c:v>
                </c:pt>
                <c:pt idx="1">
                  <c:v>Office Supplies</c:v>
                </c:pt>
                <c:pt idx="2">
                  <c:v>Technology</c:v>
                </c:pt>
              </c:strCache>
            </c:strRef>
          </c:cat>
          <c:val>
            <c:numRef>
              <c:f>q!$C$5:$C$8</c:f>
              <c:numCache>
                <c:formatCode>0.00</c:formatCode>
                <c:ptCount val="3"/>
                <c:pt idx="0">
                  <c:v>2132.5610000000001</c:v>
                </c:pt>
                <c:pt idx="1">
                  <c:v>12269.609899999998</c:v>
                </c:pt>
                <c:pt idx="2">
                  <c:v>1432.038</c:v>
                </c:pt>
              </c:numCache>
            </c:numRef>
          </c:val>
          <c:extLst>
            <c:ext xmlns:c16="http://schemas.microsoft.com/office/drawing/2014/chart" uri="{C3380CC4-5D6E-409C-BE32-E72D297353CC}">
              <c16:uniqueId val="{00000001-D2B3-4F4D-B26C-61120D97F670}"/>
            </c:ext>
          </c:extLst>
        </c:ser>
        <c:ser>
          <c:idx val="2"/>
          <c:order val="2"/>
          <c:tx>
            <c:strRef>
              <c:f>q!$D$3:$D$4</c:f>
              <c:strCache>
                <c:ptCount val="1"/>
                <c:pt idx="0">
                  <c:v>France</c:v>
                </c:pt>
              </c:strCache>
            </c:strRef>
          </c:tx>
          <c:spPr>
            <a:solidFill>
              <a:schemeClr val="accent3"/>
            </a:solidFill>
            <a:ln>
              <a:noFill/>
            </a:ln>
            <a:effectLst/>
          </c:spPr>
          <c:invertIfNegative val="0"/>
          <c:cat>
            <c:strRef>
              <c:f>q!$A$5:$A$8</c:f>
              <c:strCache>
                <c:ptCount val="3"/>
                <c:pt idx="0">
                  <c:v>Furniture</c:v>
                </c:pt>
                <c:pt idx="1">
                  <c:v>Office Supplies</c:v>
                </c:pt>
                <c:pt idx="2">
                  <c:v>Technology</c:v>
                </c:pt>
              </c:strCache>
            </c:strRef>
          </c:cat>
          <c:val>
            <c:numRef>
              <c:f>q!$D$5:$D$8</c:f>
              <c:numCache>
                <c:formatCode>0.00</c:formatCode>
                <c:ptCount val="3"/>
                <c:pt idx="0">
                  <c:v>2740.9120000000003</c:v>
                </c:pt>
                <c:pt idx="1">
                  <c:v>6674.6220000000003</c:v>
                </c:pt>
                <c:pt idx="2">
                  <c:v>9234.75</c:v>
                </c:pt>
              </c:numCache>
            </c:numRef>
          </c:val>
          <c:extLst>
            <c:ext xmlns:c16="http://schemas.microsoft.com/office/drawing/2014/chart" uri="{C3380CC4-5D6E-409C-BE32-E72D297353CC}">
              <c16:uniqueId val="{00000002-D2B3-4F4D-B26C-61120D97F670}"/>
            </c:ext>
          </c:extLst>
        </c:ser>
        <c:ser>
          <c:idx val="3"/>
          <c:order val="3"/>
          <c:tx>
            <c:strRef>
              <c:f>q!$E$3:$E$4</c:f>
              <c:strCache>
                <c:ptCount val="1"/>
                <c:pt idx="0">
                  <c:v>Germany</c:v>
                </c:pt>
              </c:strCache>
            </c:strRef>
          </c:tx>
          <c:spPr>
            <a:solidFill>
              <a:schemeClr val="accent4"/>
            </a:solidFill>
            <a:ln>
              <a:noFill/>
            </a:ln>
            <a:effectLst/>
          </c:spPr>
          <c:invertIfNegative val="0"/>
          <c:cat>
            <c:strRef>
              <c:f>q!$A$5:$A$8</c:f>
              <c:strCache>
                <c:ptCount val="3"/>
                <c:pt idx="0">
                  <c:v>Furniture</c:v>
                </c:pt>
                <c:pt idx="1">
                  <c:v>Office Supplies</c:v>
                </c:pt>
                <c:pt idx="2">
                  <c:v>Technology</c:v>
                </c:pt>
              </c:strCache>
            </c:strRef>
          </c:cat>
          <c:val>
            <c:numRef>
              <c:f>q!$E$5:$E$8</c:f>
              <c:numCache>
                <c:formatCode>0.00</c:formatCode>
                <c:ptCount val="3"/>
                <c:pt idx="0">
                  <c:v>1859.2440000000001</c:v>
                </c:pt>
                <c:pt idx="1">
                  <c:v>1613.9479999999999</c:v>
                </c:pt>
                <c:pt idx="2">
                  <c:v>661.38599999999997</c:v>
                </c:pt>
              </c:numCache>
            </c:numRef>
          </c:val>
          <c:extLst>
            <c:ext xmlns:c16="http://schemas.microsoft.com/office/drawing/2014/chart" uri="{C3380CC4-5D6E-409C-BE32-E72D297353CC}">
              <c16:uniqueId val="{00000003-D2B3-4F4D-B26C-61120D97F670}"/>
            </c:ext>
          </c:extLst>
        </c:ser>
        <c:ser>
          <c:idx val="4"/>
          <c:order val="4"/>
          <c:tx>
            <c:strRef>
              <c:f>q!$F$3:$F$4</c:f>
              <c:strCache>
                <c:ptCount val="1"/>
                <c:pt idx="0">
                  <c:v>India</c:v>
                </c:pt>
              </c:strCache>
            </c:strRef>
          </c:tx>
          <c:spPr>
            <a:solidFill>
              <a:schemeClr val="accent5"/>
            </a:solidFill>
            <a:ln>
              <a:noFill/>
            </a:ln>
            <a:effectLst/>
          </c:spPr>
          <c:invertIfNegative val="0"/>
          <c:cat>
            <c:strRef>
              <c:f>q!$A$5:$A$8</c:f>
              <c:strCache>
                <c:ptCount val="3"/>
                <c:pt idx="0">
                  <c:v>Furniture</c:v>
                </c:pt>
                <c:pt idx="1">
                  <c:v>Office Supplies</c:v>
                </c:pt>
                <c:pt idx="2">
                  <c:v>Technology</c:v>
                </c:pt>
              </c:strCache>
            </c:strRef>
          </c:cat>
          <c:val>
            <c:numRef>
              <c:f>q!$F$5:$F$8</c:f>
              <c:numCache>
                <c:formatCode>0.00</c:formatCode>
                <c:ptCount val="3"/>
                <c:pt idx="0">
                  <c:v>18.622</c:v>
                </c:pt>
                <c:pt idx="1">
                  <c:v>2158.2359999999999</c:v>
                </c:pt>
                <c:pt idx="2">
                  <c:v>2991.8759999999997</c:v>
                </c:pt>
              </c:numCache>
            </c:numRef>
          </c:val>
          <c:extLst>
            <c:ext xmlns:c16="http://schemas.microsoft.com/office/drawing/2014/chart" uri="{C3380CC4-5D6E-409C-BE32-E72D297353CC}">
              <c16:uniqueId val="{00000004-D2B3-4F4D-B26C-61120D97F670}"/>
            </c:ext>
          </c:extLst>
        </c:ser>
        <c:ser>
          <c:idx val="5"/>
          <c:order val="5"/>
          <c:tx>
            <c:strRef>
              <c:f>q!$G$3:$G$4</c:f>
              <c:strCache>
                <c:ptCount val="1"/>
                <c:pt idx="0">
                  <c:v>New Zealand</c:v>
                </c:pt>
              </c:strCache>
            </c:strRef>
          </c:tx>
          <c:spPr>
            <a:solidFill>
              <a:schemeClr val="accent6"/>
            </a:solidFill>
            <a:ln>
              <a:noFill/>
            </a:ln>
            <a:effectLst/>
          </c:spPr>
          <c:invertIfNegative val="0"/>
          <c:cat>
            <c:strRef>
              <c:f>q!$A$5:$A$8</c:f>
              <c:strCache>
                <c:ptCount val="3"/>
                <c:pt idx="0">
                  <c:v>Furniture</c:v>
                </c:pt>
                <c:pt idx="1">
                  <c:v>Office Supplies</c:v>
                </c:pt>
                <c:pt idx="2">
                  <c:v>Technology</c:v>
                </c:pt>
              </c:strCache>
            </c:strRef>
          </c:cat>
          <c:val>
            <c:numRef>
              <c:f>q!$G$5:$G$8</c:f>
              <c:numCache>
                <c:formatCode>0.00</c:formatCode>
                <c:ptCount val="3"/>
                <c:pt idx="0">
                  <c:v>853.96199999999999</c:v>
                </c:pt>
                <c:pt idx="1">
                  <c:v>6485.7250000000004</c:v>
                </c:pt>
                <c:pt idx="2">
                  <c:v>302.32800000000003</c:v>
                </c:pt>
              </c:numCache>
            </c:numRef>
          </c:val>
          <c:extLst>
            <c:ext xmlns:c16="http://schemas.microsoft.com/office/drawing/2014/chart" uri="{C3380CC4-5D6E-409C-BE32-E72D297353CC}">
              <c16:uniqueId val="{00000005-D2B3-4F4D-B26C-61120D97F670}"/>
            </c:ext>
          </c:extLst>
        </c:ser>
        <c:ser>
          <c:idx val="6"/>
          <c:order val="6"/>
          <c:tx>
            <c:strRef>
              <c:f>q!$H$3:$H$4</c:f>
              <c:strCache>
                <c:ptCount val="1"/>
                <c:pt idx="0">
                  <c:v>United Kingdom</c:v>
                </c:pt>
              </c:strCache>
            </c:strRef>
          </c:tx>
          <c:spPr>
            <a:solidFill>
              <a:schemeClr val="accent1">
                <a:lumMod val="60000"/>
              </a:schemeClr>
            </a:solidFill>
            <a:ln>
              <a:noFill/>
            </a:ln>
            <a:effectLst/>
          </c:spPr>
          <c:invertIfNegative val="0"/>
          <c:cat>
            <c:strRef>
              <c:f>q!$A$5:$A$8</c:f>
              <c:strCache>
                <c:ptCount val="3"/>
                <c:pt idx="0">
                  <c:v>Furniture</c:v>
                </c:pt>
                <c:pt idx="1">
                  <c:v>Office Supplies</c:v>
                </c:pt>
                <c:pt idx="2">
                  <c:v>Technology</c:v>
                </c:pt>
              </c:strCache>
            </c:strRef>
          </c:cat>
          <c:val>
            <c:numRef>
              <c:f>q!$H$5:$H$8</c:f>
              <c:numCache>
                <c:formatCode>0.00</c:formatCode>
                <c:ptCount val="3"/>
                <c:pt idx="0">
                  <c:v>3168.4540000000002</c:v>
                </c:pt>
                <c:pt idx="1">
                  <c:v>6380.2779999999984</c:v>
                </c:pt>
                <c:pt idx="2">
                  <c:v>1867.854</c:v>
                </c:pt>
              </c:numCache>
            </c:numRef>
          </c:val>
          <c:extLst>
            <c:ext xmlns:c16="http://schemas.microsoft.com/office/drawing/2014/chart" uri="{C3380CC4-5D6E-409C-BE32-E72D297353CC}">
              <c16:uniqueId val="{00000006-D2B3-4F4D-B26C-61120D97F670}"/>
            </c:ext>
          </c:extLst>
        </c:ser>
        <c:ser>
          <c:idx val="7"/>
          <c:order val="7"/>
          <c:tx>
            <c:strRef>
              <c:f>q!$I$3:$I$4</c:f>
              <c:strCache>
                <c:ptCount val="1"/>
                <c:pt idx="0">
                  <c:v>United States</c:v>
                </c:pt>
              </c:strCache>
            </c:strRef>
          </c:tx>
          <c:spPr>
            <a:solidFill>
              <a:schemeClr val="accent2">
                <a:lumMod val="60000"/>
              </a:schemeClr>
            </a:solidFill>
            <a:ln>
              <a:noFill/>
            </a:ln>
            <a:effectLst/>
          </c:spPr>
          <c:invertIfNegative val="0"/>
          <c:cat>
            <c:strRef>
              <c:f>q!$A$5:$A$8</c:f>
              <c:strCache>
                <c:ptCount val="3"/>
                <c:pt idx="0">
                  <c:v>Furniture</c:v>
                </c:pt>
                <c:pt idx="1">
                  <c:v>Office Supplies</c:v>
                </c:pt>
                <c:pt idx="2">
                  <c:v>Technology</c:v>
                </c:pt>
              </c:strCache>
            </c:strRef>
          </c:cat>
          <c:val>
            <c:numRef>
              <c:f>q!$I$5:$I$8</c:f>
              <c:numCache>
                <c:formatCode>0.00</c:formatCode>
                <c:ptCount val="3"/>
                <c:pt idx="0">
                  <c:v>5594.11</c:v>
                </c:pt>
                <c:pt idx="1">
                  <c:v>21065.307999999997</c:v>
                </c:pt>
                <c:pt idx="2">
                  <c:v>10245.996999999999</c:v>
                </c:pt>
              </c:numCache>
            </c:numRef>
          </c:val>
          <c:extLst>
            <c:ext xmlns:c16="http://schemas.microsoft.com/office/drawing/2014/chart" uri="{C3380CC4-5D6E-409C-BE32-E72D297353CC}">
              <c16:uniqueId val="{00000007-D2B3-4F4D-B26C-61120D97F670}"/>
            </c:ext>
          </c:extLst>
        </c:ser>
        <c:dLbls>
          <c:showLegendKey val="0"/>
          <c:showVal val="0"/>
          <c:showCatName val="0"/>
          <c:showSerName val="0"/>
          <c:showPercent val="0"/>
          <c:showBubbleSize val="0"/>
        </c:dLbls>
        <c:gapWidth val="219"/>
        <c:overlap val="-27"/>
        <c:axId val="529625871"/>
        <c:axId val="529632111"/>
      </c:barChart>
      <c:catAx>
        <c:axId val="5296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32111"/>
        <c:crosses val="autoZero"/>
        <c:auto val="1"/>
        <c:lblAlgn val="ctr"/>
        <c:lblOffset val="100"/>
        <c:noMultiLvlLbl val="0"/>
      </c:catAx>
      <c:valAx>
        <c:axId val="5296321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2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Project.xlsx]q1!PivotTable2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Sum of Sales</c:v>
                </c:pt>
              </c:strCache>
            </c:strRef>
          </c:tx>
          <c:spPr>
            <a:solidFill>
              <a:schemeClr val="accent1"/>
            </a:solidFill>
            <a:ln>
              <a:noFill/>
            </a:ln>
            <a:effectLst/>
          </c:spPr>
          <c:invertIfNegative val="0"/>
          <c:cat>
            <c:strRef>
              <c:f>'q1'!$A$4:$A$12</c:f>
              <c:strCache>
                <c:ptCount val="8"/>
                <c:pt idx="0">
                  <c:v>Austrailia</c:v>
                </c:pt>
                <c:pt idx="1">
                  <c:v>Canada</c:v>
                </c:pt>
                <c:pt idx="2">
                  <c:v>France</c:v>
                </c:pt>
                <c:pt idx="3">
                  <c:v>Germany</c:v>
                </c:pt>
                <c:pt idx="4">
                  <c:v>India</c:v>
                </c:pt>
                <c:pt idx="5">
                  <c:v>New Zealand</c:v>
                </c:pt>
                <c:pt idx="6">
                  <c:v>United Kingdom</c:v>
                </c:pt>
                <c:pt idx="7">
                  <c:v>United States</c:v>
                </c:pt>
              </c:strCache>
            </c:strRef>
          </c:cat>
          <c:val>
            <c:numRef>
              <c:f>'q1'!$B$4:$B$12</c:f>
              <c:numCache>
                <c:formatCode>0%</c:formatCode>
                <c:ptCount val="8"/>
                <c:pt idx="0">
                  <c:v>2.6491061312846249E-2</c:v>
                </c:pt>
                <c:pt idx="1">
                  <c:v>0.15453095253912988</c:v>
                </c:pt>
                <c:pt idx="2">
                  <c:v>0.18201390229513104</c:v>
                </c:pt>
                <c:pt idx="3">
                  <c:v>4.0350628232985526E-2</c:v>
                </c:pt>
                <c:pt idx="4">
                  <c:v>5.044327717827362E-2</c:v>
                </c:pt>
                <c:pt idx="5">
                  <c:v>7.458079306180676E-2</c:v>
                </c:pt>
                <c:pt idx="6">
                  <c:v>0.1114180013960088</c:v>
                </c:pt>
                <c:pt idx="7">
                  <c:v>0.36017138398381826</c:v>
                </c:pt>
              </c:numCache>
            </c:numRef>
          </c:val>
          <c:extLst>
            <c:ext xmlns:c16="http://schemas.microsoft.com/office/drawing/2014/chart" uri="{C3380CC4-5D6E-409C-BE32-E72D297353CC}">
              <c16:uniqueId val="{00000000-2660-44D3-8655-3CB51A7915A3}"/>
            </c:ext>
          </c:extLst>
        </c:ser>
        <c:ser>
          <c:idx val="1"/>
          <c:order val="1"/>
          <c:tx>
            <c:strRef>
              <c:f>'q1'!$C$3</c:f>
              <c:strCache>
                <c:ptCount val="1"/>
                <c:pt idx="0">
                  <c:v>Sum of Profit</c:v>
                </c:pt>
              </c:strCache>
            </c:strRef>
          </c:tx>
          <c:spPr>
            <a:solidFill>
              <a:schemeClr val="accent2"/>
            </a:solidFill>
            <a:ln>
              <a:noFill/>
            </a:ln>
            <a:effectLst/>
          </c:spPr>
          <c:invertIfNegative val="0"/>
          <c:cat>
            <c:strRef>
              <c:f>'q1'!$A$4:$A$12</c:f>
              <c:strCache>
                <c:ptCount val="8"/>
                <c:pt idx="0">
                  <c:v>Austrailia</c:v>
                </c:pt>
                <c:pt idx="1">
                  <c:v>Canada</c:v>
                </c:pt>
                <c:pt idx="2">
                  <c:v>France</c:v>
                </c:pt>
                <c:pt idx="3">
                  <c:v>Germany</c:v>
                </c:pt>
                <c:pt idx="4">
                  <c:v>India</c:v>
                </c:pt>
                <c:pt idx="5">
                  <c:v>New Zealand</c:v>
                </c:pt>
                <c:pt idx="6">
                  <c:v>United Kingdom</c:v>
                </c:pt>
                <c:pt idx="7">
                  <c:v>United States</c:v>
                </c:pt>
              </c:strCache>
            </c:strRef>
          </c:cat>
          <c:val>
            <c:numRef>
              <c:f>'q1'!$C$4:$C$12</c:f>
              <c:numCache>
                <c:formatCode>0.00%</c:formatCode>
                <c:ptCount val="8"/>
                <c:pt idx="0">
                  <c:v>7.4016599141910569E-2</c:v>
                </c:pt>
                <c:pt idx="1">
                  <c:v>0.1857730620809353</c:v>
                </c:pt>
                <c:pt idx="2">
                  <c:v>8.6841739464610504E-2</c:v>
                </c:pt>
                <c:pt idx="3">
                  <c:v>0.10413821866501628</c:v>
                </c:pt>
                <c:pt idx="4">
                  <c:v>0.1081223449296544</c:v>
                </c:pt>
                <c:pt idx="5">
                  <c:v>5.8172589755038702E-2</c:v>
                </c:pt>
                <c:pt idx="6">
                  <c:v>9.6282691865003184E-2</c:v>
                </c:pt>
                <c:pt idx="7">
                  <c:v>0.28665275409783109</c:v>
                </c:pt>
              </c:numCache>
            </c:numRef>
          </c:val>
          <c:extLst>
            <c:ext xmlns:c16="http://schemas.microsoft.com/office/drawing/2014/chart" uri="{C3380CC4-5D6E-409C-BE32-E72D297353CC}">
              <c16:uniqueId val="{00000001-2660-44D3-8655-3CB51A7915A3}"/>
            </c:ext>
          </c:extLst>
        </c:ser>
        <c:dLbls>
          <c:showLegendKey val="0"/>
          <c:showVal val="0"/>
          <c:showCatName val="0"/>
          <c:showSerName val="0"/>
          <c:showPercent val="0"/>
          <c:showBubbleSize val="0"/>
        </c:dLbls>
        <c:gapWidth val="219"/>
        <c:overlap val="-27"/>
        <c:axId val="2113842735"/>
        <c:axId val="2113835247"/>
      </c:barChart>
      <c:catAx>
        <c:axId val="211384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35247"/>
        <c:crosses val="autoZero"/>
        <c:auto val="1"/>
        <c:lblAlgn val="ctr"/>
        <c:lblOffset val="100"/>
        <c:noMultiLvlLbl val="0"/>
      </c:catAx>
      <c:valAx>
        <c:axId val="2113835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Project.xlsx]q3!PivotTable6</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1306897594412"/>
          <c:y val="0.28111411446703488"/>
          <c:w val="0.70314636756506499"/>
          <c:h val="0.47186479022211775"/>
        </c:manualLayout>
      </c:layout>
      <c:barChart>
        <c:barDir val="col"/>
        <c:grouping val="clustered"/>
        <c:varyColors val="0"/>
        <c:ser>
          <c:idx val="0"/>
          <c:order val="0"/>
          <c:tx>
            <c:strRef>
              <c:f>'q3'!$B$3</c:f>
              <c:strCache>
                <c:ptCount val="1"/>
                <c:pt idx="0">
                  <c:v>Sum of Sales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'q3'!$A$4:$A$17</c:f>
              <c:multiLvlStrCache>
                <c:ptCount val="12"/>
                <c:lvl>
                  <c:pt idx="0">
                    <c:v>Accessories</c:v>
                  </c:pt>
                  <c:pt idx="1">
                    <c:v>Appliances</c:v>
                  </c:pt>
                  <c:pt idx="2">
                    <c:v>Art</c:v>
                  </c:pt>
                  <c:pt idx="3">
                    <c:v>Binders</c:v>
                  </c:pt>
                  <c:pt idx="4">
                    <c:v>Chairs</c:v>
                  </c:pt>
                  <c:pt idx="5">
                    <c:v>Envelopes</c:v>
                  </c:pt>
                  <c:pt idx="6">
                    <c:v>Furnishings</c:v>
                  </c:pt>
                  <c:pt idx="7">
                    <c:v>Machines</c:v>
                  </c:pt>
                  <c:pt idx="8">
                    <c:v>Paper</c:v>
                  </c:pt>
                  <c:pt idx="9">
                    <c:v>Phones</c:v>
                  </c:pt>
                  <c:pt idx="10">
                    <c:v>Storage</c:v>
                  </c:pt>
                  <c:pt idx="11">
                    <c:v>Supplies</c:v>
                  </c:pt>
                </c:lvl>
                <c:lvl>
                  <c:pt idx="0">
                    <c:v>Central</c:v>
                  </c:pt>
                </c:lvl>
              </c:multiLvlStrCache>
            </c:multiLvlStrRef>
          </c:cat>
          <c:val>
            <c:numRef>
              <c:f>'q3'!$B$4:$B$17</c:f>
              <c:numCache>
                <c:formatCode>0.00%</c:formatCode>
                <c:ptCount val="12"/>
                <c:pt idx="0">
                  <c:v>7.8263337291878246E-2</c:v>
                </c:pt>
                <c:pt idx="1">
                  <c:v>2.0829009844007151E-2</c:v>
                </c:pt>
                <c:pt idx="2">
                  <c:v>1.6152745423158931E-2</c:v>
                </c:pt>
                <c:pt idx="3">
                  <c:v>0.22625412560264505</c:v>
                </c:pt>
                <c:pt idx="4">
                  <c:v>1.1734470607763474E-2</c:v>
                </c:pt>
                <c:pt idx="5">
                  <c:v>1.2513307152526537E-3</c:v>
                </c:pt>
                <c:pt idx="6">
                  <c:v>2.8258785965819787E-3</c:v>
                </c:pt>
                <c:pt idx="7">
                  <c:v>2.1301179499269756E-3</c:v>
                </c:pt>
                <c:pt idx="8">
                  <c:v>1.5366445028175224E-2</c:v>
                </c:pt>
                <c:pt idx="9">
                  <c:v>0.15906860235672696</c:v>
                </c:pt>
                <c:pt idx="10">
                  <c:v>0.45027201677613915</c:v>
                </c:pt>
                <c:pt idx="11">
                  <c:v>1.58519198077442E-2</c:v>
                </c:pt>
              </c:numCache>
            </c:numRef>
          </c:val>
          <c:extLst>
            <c:ext xmlns:c16="http://schemas.microsoft.com/office/drawing/2014/chart" uri="{C3380CC4-5D6E-409C-BE32-E72D297353CC}">
              <c16:uniqueId val="{00000000-511E-45A8-9B79-0C70905EF0ED}"/>
            </c:ext>
          </c:extLst>
        </c:ser>
        <c:dLbls>
          <c:showLegendKey val="0"/>
          <c:showVal val="0"/>
          <c:showCatName val="0"/>
          <c:showSerName val="0"/>
          <c:showPercent val="0"/>
          <c:showBubbleSize val="0"/>
        </c:dLbls>
        <c:gapWidth val="150"/>
        <c:axId val="426073567"/>
        <c:axId val="426073983"/>
      </c:barChart>
      <c:lineChart>
        <c:grouping val="standard"/>
        <c:varyColors val="0"/>
        <c:ser>
          <c:idx val="1"/>
          <c:order val="1"/>
          <c:tx>
            <c:strRef>
              <c:f>'q3'!$C$3</c:f>
              <c:strCache>
                <c:ptCount val="1"/>
                <c:pt idx="0">
                  <c:v>Sum of Quantity</c:v>
                </c:pt>
              </c:strCache>
            </c:strRef>
          </c:tx>
          <c:spPr>
            <a:ln w="28575" cap="rnd">
              <a:solidFill>
                <a:schemeClr val="accent2"/>
              </a:solidFill>
              <a:round/>
            </a:ln>
            <a:effectLst/>
          </c:spPr>
          <c:marker>
            <c:symbol val="circle"/>
            <c:size val="6"/>
            <c:spPr>
              <a:solidFill>
                <a:schemeClr val="accent2"/>
              </a:solidFill>
              <a:ln>
                <a:noFill/>
              </a:ln>
              <a:effectLst/>
            </c:spPr>
          </c:marker>
          <c:cat>
            <c:multiLvlStrRef>
              <c:f>'q3'!$A$4:$A$17</c:f>
              <c:multiLvlStrCache>
                <c:ptCount val="12"/>
                <c:lvl>
                  <c:pt idx="0">
                    <c:v>Accessories</c:v>
                  </c:pt>
                  <c:pt idx="1">
                    <c:v>Appliances</c:v>
                  </c:pt>
                  <c:pt idx="2">
                    <c:v>Art</c:v>
                  </c:pt>
                  <c:pt idx="3">
                    <c:v>Binders</c:v>
                  </c:pt>
                  <c:pt idx="4">
                    <c:v>Chairs</c:v>
                  </c:pt>
                  <c:pt idx="5">
                    <c:v>Envelopes</c:v>
                  </c:pt>
                  <c:pt idx="6">
                    <c:v>Furnishings</c:v>
                  </c:pt>
                  <c:pt idx="7">
                    <c:v>Machines</c:v>
                  </c:pt>
                  <c:pt idx="8">
                    <c:v>Paper</c:v>
                  </c:pt>
                  <c:pt idx="9">
                    <c:v>Phones</c:v>
                  </c:pt>
                  <c:pt idx="10">
                    <c:v>Storage</c:v>
                  </c:pt>
                  <c:pt idx="11">
                    <c:v>Supplies</c:v>
                  </c:pt>
                </c:lvl>
                <c:lvl>
                  <c:pt idx="0">
                    <c:v>Central</c:v>
                  </c:pt>
                </c:lvl>
              </c:multiLvlStrCache>
            </c:multiLvlStrRef>
          </c:cat>
          <c:val>
            <c:numRef>
              <c:f>'q3'!$C$4:$C$17</c:f>
              <c:numCache>
                <c:formatCode>General</c:formatCode>
                <c:ptCount val="12"/>
                <c:pt idx="0">
                  <c:v>2</c:v>
                </c:pt>
                <c:pt idx="1">
                  <c:v>19</c:v>
                </c:pt>
                <c:pt idx="2">
                  <c:v>8</c:v>
                </c:pt>
                <c:pt idx="3">
                  <c:v>6</c:v>
                </c:pt>
                <c:pt idx="4">
                  <c:v>11</c:v>
                </c:pt>
                <c:pt idx="5">
                  <c:v>9</c:v>
                </c:pt>
                <c:pt idx="6">
                  <c:v>15</c:v>
                </c:pt>
                <c:pt idx="7">
                  <c:v>4</c:v>
                </c:pt>
                <c:pt idx="8">
                  <c:v>10</c:v>
                </c:pt>
                <c:pt idx="9">
                  <c:v>20</c:v>
                </c:pt>
                <c:pt idx="10">
                  <c:v>11</c:v>
                </c:pt>
                <c:pt idx="11">
                  <c:v>3</c:v>
                </c:pt>
              </c:numCache>
            </c:numRef>
          </c:val>
          <c:smooth val="0"/>
          <c:extLst>
            <c:ext xmlns:c16="http://schemas.microsoft.com/office/drawing/2014/chart" uri="{C3380CC4-5D6E-409C-BE32-E72D297353CC}">
              <c16:uniqueId val="{00000001-511E-45A8-9B79-0C70905EF0ED}"/>
            </c:ext>
          </c:extLst>
        </c:ser>
        <c:dLbls>
          <c:showLegendKey val="0"/>
          <c:showVal val="0"/>
          <c:showCatName val="0"/>
          <c:showSerName val="0"/>
          <c:showPercent val="0"/>
          <c:showBubbleSize val="0"/>
        </c:dLbls>
        <c:marker val="1"/>
        <c:smooth val="0"/>
        <c:axId val="426088543"/>
        <c:axId val="426074399"/>
      </c:lineChart>
      <c:catAx>
        <c:axId val="42607356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73983"/>
        <c:crosses val="autoZero"/>
        <c:auto val="1"/>
        <c:lblAlgn val="ctr"/>
        <c:lblOffset val="100"/>
        <c:noMultiLvlLbl val="0"/>
      </c:catAx>
      <c:valAx>
        <c:axId val="426073983"/>
        <c:scaling>
          <c:orientation val="minMax"/>
        </c:scaling>
        <c:delete val="0"/>
        <c:axPos val="l"/>
        <c:majorGridlines>
          <c:spPr>
            <a:ln>
              <a:solidFill>
                <a:schemeClr val="tx1">
                  <a:lumMod val="15000"/>
                  <a:lumOff val="85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73567"/>
        <c:crosses val="autoZero"/>
        <c:crossBetween val="between"/>
      </c:valAx>
      <c:valAx>
        <c:axId val="42607439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88543"/>
        <c:crosses val="max"/>
        <c:crossBetween val="between"/>
      </c:valAx>
      <c:catAx>
        <c:axId val="426088543"/>
        <c:scaling>
          <c:orientation val="minMax"/>
        </c:scaling>
        <c:delete val="1"/>
        <c:axPos val="b"/>
        <c:numFmt formatCode="General" sourceLinked="1"/>
        <c:majorTickMark val="none"/>
        <c:minorTickMark val="none"/>
        <c:tickLblPos val="nextTo"/>
        <c:crossAx val="426074399"/>
        <c:crosses val="autoZero"/>
        <c:auto val="1"/>
        <c:lblAlgn val="ctr"/>
        <c:lblOffset val="100"/>
        <c:noMultiLvlLbl val="0"/>
      </c:catAx>
      <c:spPr>
        <a:noFill/>
        <a:ln>
          <a:noFill/>
        </a:ln>
        <a:effectLst/>
      </c:spPr>
    </c:plotArea>
    <c:legend>
      <c:legendPos val="r"/>
      <c:layout>
        <c:manualLayout>
          <c:xMode val="edge"/>
          <c:yMode val="edge"/>
          <c:x val="0.83042425629064076"/>
          <c:y val="0.4539328039245184"/>
          <c:w val="0.16957574370935921"/>
          <c:h val="0.16577511249110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Project.xlsx]q4!PivotTable8</c:name>
    <c:fmtId val="4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'q4'!$B$4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'q4'!$A$5:$A$17</c:f>
              <c:strCache>
                <c:ptCount val="12"/>
                <c:pt idx="0">
                  <c:v>Arizona</c:v>
                </c:pt>
                <c:pt idx="1">
                  <c:v>California</c:v>
                </c:pt>
                <c:pt idx="2">
                  <c:v>Colorado</c:v>
                </c:pt>
                <c:pt idx="3">
                  <c:v>Connecticut</c:v>
                </c:pt>
                <c:pt idx="4">
                  <c:v>Iowa</c:v>
                </c:pt>
                <c:pt idx="5">
                  <c:v>Michigan</c:v>
                </c:pt>
                <c:pt idx="6">
                  <c:v>Minnesota</c:v>
                </c:pt>
                <c:pt idx="7">
                  <c:v>Nebraska</c:v>
                </c:pt>
                <c:pt idx="8">
                  <c:v>New Jersey</c:v>
                </c:pt>
                <c:pt idx="9">
                  <c:v>New York</c:v>
                </c:pt>
                <c:pt idx="10">
                  <c:v>Pennsylvania</c:v>
                </c:pt>
                <c:pt idx="11">
                  <c:v>Texas</c:v>
                </c:pt>
              </c:strCache>
            </c:strRef>
          </c:cat>
          <c:val>
            <c:numRef>
              <c:f>'q4'!$B$5:$B$17</c:f>
              <c:numCache>
                <c:formatCode>0</c:formatCode>
                <c:ptCount val="12"/>
                <c:pt idx="0">
                  <c:v>77.349999999999994</c:v>
                </c:pt>
                <c:pt idx="1">
                  <c:v>918.11999999999989</c:v>
                </c:pt>
                <c:pt idx="2">
                  <c:v>801.5680000000001</c:v>
                </c:pt>
                <c:pt idx="3">
                  <c:v>381.57600000000002</c:v>
                </c:pt>
                <c:pt idx="4">
                  <c:v>1336.829</c:v>
                </c:pt>
                <c:pt idx="5">
                  <c:v>97.696000000000012</c:v>
                </c:pt>
                <c:pt idx="6">
                  <c:v>13.36</c:v>
                </c:pt>
                <c:pt idx="7">
                  <c:v>7.16</c:v>
                </c:pt>
                <c:pt idx="8">
                  <c:v>3.2820000000000005</c:v>
                </c:pt>
                <c:pt idx="9">
                  <c:v>97.82</c:v>
                </c:pt>
                <c:pt idx="10">
                  <c:v>7.3</c:v>
                </c:pt>
                <c:pt idx="11">
                  <c:v>2743.6640000000002</c:v>
                </c:pt>
              </c:numCache>
            </c:numRef>
          </c:val>
          <c:smooth val="0"/>
          <c:extLst>
            <c:ext xmlns:c16="http://schemas.microsoft.com/office/drawing/2014/chart" uri="{C3380CC4-5D6E-409C-BE32-E72D297353CC}">
              <c16:uniqueId val="{00000000-D28D-4BF6-BB6F-AB7464162192}"/>
            </c:ext>
          </c:extLst>
        </c:ser>
        <c:dLbls>
          <c:dLblPos val="ctr"/>
          <c:showLegendKey val="0"/>
          <c:showVal val="1"/>
          <c:showCatName val="0"/>
          <c:showSerName val="0"/>
          <c:showPercent val="0"/>
          <c:showBubbleSize val="0"/>
        </c:dLbls>
        <c:marker val="1"/>
        <c:smooth val="0"/>
        <c:axId val="641417759"/>
        <c:axId val="641428991"/>
      </c:lineChart>
      <c:catAx>
        <c:axId val="6414177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1428991"/>
        <c:crosses val="autoZero"/>
        <c:auto val="1"/>
        <c:lblAlgn val="ctr"/>
        <c:lblOffset val="100"/>
        <c:noMultiLvlLbl val="0"/>
      </c:catAx>
      <c:valAx>
        <c:axId val="641428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414177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Project.xlsx]q9!PivotTable13</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'q9'!$B$3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085-44A8-899E-1A7781BF868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085-44A8-899E-1A7781BF868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B085-44A8-899E-1A7781BF868D}"/>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B085-44A8-899E-1A7781BF868D}"/>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B085-44A8-899E-1A7781BF868D}"/>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B085-44A8-899E-1A7781BF868D}"/>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B085-44A8-899E-1A7781BF868D}"/>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B085-44A8-899E-1A7781BF86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'q9'!$A$4:$A$12</c:f>
              <c:strCache>
                <c:ptCount val="8"/>
                <c:pt idx="0">
                  <c:v>Austrailia</c:v>
                </c:pt>
                <c:pt idx="1">
                  <c:v>Canada</c:v>
                </c:pt>
                <c:pt idx="2">
                  <c:v>France</c:v>
                </c:pt>
                <c:pt idx="3">
                  <c:v>Germany</c:v>
                </c:pt>
                <c:pt idx="4">
                  <c:v>India</c:v>
                </c:pt>
                <c:pt idx="5">
                  <c:v>New Zealand</c:v>
                </c:pt>
                <c:pt idx="6">
                  <c:v>United Kingdom</c:v>
                </c:pt>
                <c:pt idx="7">
                  <c:v>United States</c:v>
                </c:pt>
              </c:strCache>
            </c:strRef>
          </c:cat>
          <c:val>
            <c:numRef>
              <c:f>'q9'!$B$4:$B$12</c:f>
              <c:numCache>
                <c:formatCode>0.00%</c:formatCode>
                <c:ptCount val="8"/>
                <c:pt idx="0">
                  <c:v>6.7500000000000004E-2</c:v>
                </c:pt>
                <c:pt idx="1">
                  <c:v>0.2</c:v>
                </c:pt>
                <c:pt idx="2">
                  <c:v>6.7500000000000004E-2</c:v>
                </c:pt>
                <c:pt idx="3">
                  <c:v>6.7500000000000004E-2</c:v>
                </c:pt>
                <c:pt idx="4">
                  <c:v>6.5000000000000002E-2</c:v>
                </c:pt>
                <c:pt idx="5">
                  <c:v>6.7500000000000004E-2</c:v>
                </c:pt>
                <c:pt idx="6">
                  <c:v>0.13250000000000001</c:v>
                </c:pt>
                <c:pt idx="7">
                  <c:v>0.33250000000000002</c:v>
                </c:pt>
              </c:numCache>
            </c:numRef>
          </c:val>
          <c:extLst>
            <c:ext xmlns:c16="http://schemas.microsoft.com/office/drawing/2014/chart" uri="{C3380CC4-5D6E-409C-BE32-E72D297353CC}">
              <c16:uniqueId val="{00000010-B085-44A8-899E-1A7781BF868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Project.xlsx]q8!PivotTable12</c:name>
    <c:fmtId val="3"/>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'q8'!$B$3</c:f>
              <c:strCache>
                <c:ptCount val="1"/>
                <c:pt idx="0">
                  <c:v>Sum of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'q8'!$A$4:$A$8</c:f>
              <c:strCache>
                <c:ptCount val="4"/>
                <c:pt idx="0">
                  <c:v>Central</c:v>
                </c:pt>
                <c:pt idx="1">
                  <c:v>East</c:v>
                </c:pt>
                <c:pt idx="2">
                  <c:v>South</c:v>
                </c:pt>
                <c:pt idx="3">
                  <c:v>West</c:v>
                </c:pt>
              </c:strCache>
            </c:strRef>
          </c:cat>
          <c:val>
            <c:numRef>
              <c:f>'q8'!$B$4:$B$8</c:f>
              <c:numCache>
                <c:formatCode>General</c:formatCode>
                <c:ptCount val="4"/>
                <c:pt idx="0">
                  <c:v>1783.682</c:v>
                </c:pt>
                <c:pt idx="1">
                  <c:v>3659.259</c:v>
                </c:pt>
                <c:pt idx="2">
                  <c:v>2452.5080000000003</c:v>
                </c:pt>
                <c:pt idx="3">
                  <c:v>3521.1370000000002</c:v>
                </c:pt>
              </c:numCache>
            </c:numRef>
          </c:val>
          <c:extLst>
            <c:ext xmlns:c16="http://schemas.microsoft.com/office/drawing/2014/chart" uri="{C3380CC4-5D6E-409C-BE32-E72D297353CC}">
              <c16:uniqueId val="{00000000-67D8-467F-BE51-D2A097C3D696}"/>
            </c:ext>
          </c:extLst>
        </c:ser>
        <c:ser>
          <c:idx val="1"/>
          <c:order val="1"/>
          <c:tx>
            <c:strRef>
              <c:f>'q8'!$C$3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'q8'!$A$4:$A$8</c:f>
              <c:strCache>
                <c:ptCount val="4"/>
                <c:pt idx="0">
                  <c:v>Central</c:v>
                </c:pt>
                <c:pt idx="1">
                  <c:v>East</c:v>
                </c:pt>
                <c:pt idx="2">
                  <c:v>South</c:v>
                </c:pt>
                <c:pt idx="3">
                  <c:v>West</c:v>
                </c:pt>
              </c:strCache>
            </c:strRef>
          </c:cat>
          <c:val>
            <c:numRef>
              <c:f>'q8'!$C$4:$C$8</c:f>
              <c:numCache>
                <c:formatCode>0</c:formatCode>
                <c:ptCount val="4"/>
                <c:pt idx="0">
                  <c:v>1101.5439999999999</c:v>
                </c:pt>
                <c:pt idx="1">
                  <c:v>5372.4640000000018</c:v>
                </c:pt>
                <c:pt idx="2">
                  <c:v>419.09</c:v>
                </c:pt>
                <c:pt idx="3">
                  <c:v>2033.61</c:v>
                </c:pt>
              </c:numCache>
            </c:numRef>
          </c:val>
          <c:extLst>
            <c:ext xmlns:c16="http://schemas.microsoft.com/office/drawing/2014/chart" uri="{C3380CC4-5D6E-409C-BE32-E72D297353CC}">
              <c16:uniqueId val="{00000001-67D8-467F-BE51-D2A097C3D696}"/>
            </c:ext>
          </c:extLst>
        </c:ser>
        <c:dLbls>
          <c:dLblPos val="inEnd"/>
          <c:showLegendKey val="0"/>
          <c:showVal val="1"/>
          <c:showCatName val="0"/>
          <c:showSerName val="0"/>
          <c:showPercent val="0"/>
          <c:showBubbleSize val="0"/>
        </c:dLbls>
        <c:gapWidth val="65"/>
        <c:axId val="529624207"/>
        <c:axId val="529633359"/>
      </c:barChart>
      <c:catAx>
        <c:axId val="5296242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9633359"/>
        <c:crosses val="autoZero"/>
        <c:auto val="1"/>
        <c:lblAlgn val="ctr"/>
        <c:lblOffset val="100"/>
        <c:noMultiLvlLbl val="0"/>
      </c:catAx>
      <c:valAx>
        <c:axId val="529633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9624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Project.xlsx]q7!PivotTable11</c:name>
    <c:fmtId val="5"/>
  </c:pivotSource>
  <c:chart>
    <c:title>
      <c:layout>
        <c:manualLayout>
          <c:xMode val="edge"/>
          <c:yMode val="edge"/>
          <c:x val="0.39079538534619324"/>
          <c:y val="0.1167449813070523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928979965791309"/>
          <c:y val="0.23565689668512835"/>
          <c:w val="0.57472895481593367"/>
          <c:h val="0.77340077305244415"/>
        </c:manualLayout>
      </c:layout>
      <c:pieChart>
        <c:varyColors val="1"/>
        <c:ser>
          <c:idx val="0"/>
          <c:order val="0"/>
          <c:tx>
            <c:strRef>
              <c:f>'q7'!$B$3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CA-4FC0-858E-28EA0915055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CA-4FC0-858E-28EA0915055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CA-4FC0-858E-28EA0915055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8CA-4FC0-858E-28EA0915055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'q7'!$A$4:$A$8</c:f>
              <c:strCache>
                <c:ptCount val="4"/>
                <c:pt idx="0">
                  <c:v>Central</c:v>
                </c:pt>
                <c:pt idx="1">
                  <c:v>East</c:v>
                </c:pt>
                <c:pt idx="2">
                  <c:v>South</c:v>
                </c:pt>
                <c:pt idx="3">
                  <c:v>West</c:v>
                </c:pt>
              </c:strCache>
            </c:strRef>
          </c:cat>
          <c:val>
            <c:numRef>
              <c:f>'q7'!$B$4:$B$8</c:f>
              <c:numCache>
                <c:formatCode>0.00%</c:formatCode>
                <c:ptCount val="4"/>
                <c:pt idx="0">
                  <c:v>0.38763451062943993</c:v>
                </c:pt>
                <c:pt idx="1">
                  <c:v>0.23138704185896566</c:v>
                </c:pt>
                <c:pt idx="2">
                  <c:v>0.1015606786916531</c:v>
                </c:pt>
                <c:pt idx="3">
                  <c:v>0.27941776881994118</c:v>
                </c:pt>
              </c:numCache>
            </c:numRef>
          </c:val>
          <c:extLst>
            <c:ext xmlns:c16="http://schemas.microsoft.com/office/drawing/2014/chart" uri="{C3380CC4-5D6E-409C-BE32-E72D297353CC}">
              <c16:uniqueId val="{00000008-98CA-4FC0-858E-28EA0915055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Project.xlsx]q6!PivotTable10</c:name>
    <c:fmtId val="2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6984561161517"/>
          <c:y val="0.30549474549172634"/>
          <c:w val="0.63397121354442265"/>
          <c:h val="0.55647442155795734"/>
        </c:manualLayout>
      </c:layout>
      <c:barChart>
        <c:barDir val="bar"/>
        <c:grouping val="clustered"/>
        <c:varyColors val="0"/>
        <c:ser>
          <c:idx val="0"/>
          <c:order val="0"/>
          <c:tx>
            <c:strRef>
              <c:f>'q6'!$B$4:$B$5</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'q6'!$A$6:$A$15</c:f>
              <c:strCache>
                <c:ptCount val="9"/>
                <c:pt idx="0">
                  <c:v>Accessories</c:v>
                </c:pt>
                <c:pt idx="1">
                  <c:v>Appliances</c:v>
                </c:pt>
                <c:pt idx="2">
                  <c:v>Art</c:v>
                </c:pt>
                <c:pt idx="3">
                  <c:v>Binders</c:v>
                </c:pt>
                <c:pt idx="4">
                  <c:v>Chairs</c:v>
                </c:pt>
                <c:pt idx="5">
                  <c:v>Furnishings</c:v>
                </c:pt>
                <c:pt idx="6">
                  <c:v>Paper</c:v>
                </c:pt>
                <c:pt idx="7">
                  <c:v>Storage</c:v>
                </c:pt>
                <c:pt idx="8">
                  <c:v>Tables</c:v>
                </c:pt>
              </c:strCache>
            </c:strRef>
          </c:cat>
          <c:val>
            <c:numRef>
              <c:f>'q6'!$B$6:$B$15</c:f>
              <c:numCache>
                <c:formatCode>[$$-C09]#,##0</c:formatCode>
                <c:ptCount val="9"/>
                <c:pt idx="4">
                  <c:v>23.2</c:v>
                </c:pt>
                <c:pt idx="5">
                  <c:v>30.376000000000005</c:v>
                </c:pt>
                <c:pt idx="8">
                  <c:v>205.67200000000003</c:v>
                </c:pt>
              </c:numCache>
            </c:numRef>
          </c:val>
          <c:extLst>
            <c:ext xmlns:c16="http://schemas.microsoft.com/office/drawing/2014/chart" uri="{C3380CC4-5D6E-409C-BE32-E72D297353CC}">
              <c16:uniqueId val="{00000000-4262-4800-A701-0D446CAB55F4}"/>
            </c:ext>
          </c:extLst>
        </c:ser>
        <c:ser>
          <c:idx val="1"/>
          <c:order val="1"/>
          <c:tx>
            <c:strRef>
              <c:f>'q6'!$C$4:$C$5</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'q6'!$A$6:$A$15</c:f>
              <c:strCache>
                <c:ptCount val="9"/>
                <c:pt idx="0">
                  <c:v>Accessories</c:v>
                </c:pt>
                <c:pt idx="1">
                  <c:v>Appliances</c:v>
                </c:pt>
                <c:pt idx="2">
                  <c:v>Art</c:v>
                </c:pt>
                <c:pt idx="3">
                  <c:v>Binders</c:v>
                </c:pt>
                <c:pt idx="4">
                  <c:v>Chairs</c:v>
                </c:pt>
                <c:pt idx="5">
                  <c:v>Furnishings</c:v>
                </c:pt>
                <c:pt idx="6">
                  <c:v>Paper</c:v>
                </c:pt>
                <c:pt idx="7">
                  <c:v>Storage</c:v>
                </c:pt>
                <c:pt idx="8">
                  <c:v>Tables</c:v>
                </c:pt>
              </c:strCache>
            </c:strRef>
          </c:cat>
          <c:val>
            <c:numRef>
              <c:f>'q6'!$C$6:$C$15</c:f>
              <c:numCache>
                <c:formatCode>[$$-C09]#,##0</c:formatCode>
                <c:ptCount val="9"/>
                <c:pt idx="1">
                  <c:v>13</c:v>
                </c:pt>
                <c:pt idx="2">
                  <c:v>520.49800000000005</c:v>
                </c:pt>
                <c:pt idx="3">
                  <c:v>903.16200000000003</c:v>
                </c:pt>
                <c:pt idx="6">
                  <c:v>668.06400000000008</c:v>
                </c:pt>
                <c:pt idx="7">
                  <c:v>8.6899999999999977</c:v>
                </c:pt>
              </c:numCache>
            </c:numRef>
          </c:val>
          <c:extLst>
            <c:ext xmlns:c16="http://schemas.microsoft.com/office/drawing/2014/chart" uri="{C3380CC4-5D6E-409C-BE32-E72D297353CC}">
              <c16:uniqueId val="{00000001-4262-4800-A701-0D446CAB55F4}"/>
            </c:ext>
          </c:extLst>
        </c:ser>
        <c:ser>
          <c:idx val="2"/>
          <c:order val="2"/>
          <c:tx>
            <c:strRef>
              <c:f>'q6'!$D$4:$D$5</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'q6'!$A$6:$A$15</c:f>
              <c:strCache>
                <c:ptCount val="9"/>
                <c:pt idx="0">
                  <c:v>Accessories</c:v>
                </c:pt>
                <c:pt idx="1">
                  <c:v>Appliances</c:v>
                </c:pt>
                <c:pt idx="2">
                  <c:v>Art</c:v>
                </c:pt>
                <c:pt idx="3">
                  <c:v>Binders</c:v>
                </c:pt>
                <c:pt idx="4">
                  <c:v>Chairs</c:v>
                </c:pt>
                <c:pt idx="5">
                  <c:v>Furnishings</c:v>
                </c:pt>
                <c:pt idx="6">
                  <c:v>Paper</c:v>
                </c:pt>
                <c:pt idx="7">
                  <c:v>Storage</c:v>
                </c:pt>
                <c:pt idx="8">
                  <c:v>Tables</c:v>
                </c:pt>
              </c:strCache>
            </c:strRef>
          </c:cat>
          <c:val>
            <c:numRef>
              <c:f>'q6'!$D$6:$D$15</c:f>
              <c:numCache>
                <c:formatCode>[$$-C09]#,##0</c:formatCode>
                <c:ptCount val="9"/>
                <c:pt idx="0">
                  <c:v>341.77799999999996</c:v>
                </c:pt>
              </c:numCache>
            </c:numRef>
          </c:val>
          <c:extLst>
            <c:ext xmlns:c16="http://schemas.microsoft.com/office/drawing/2014/chart" uri="{C3380CC4-5D6E-409C-BE32-E72D297353CC}">
              <c16:uniqueId val="{00000002-4262-4800-A701-0D446CAB55F4}"/>
            </c:ext>
          </c:extLst>
        </c:ser>
        <c:dLbls>
          <c:dLblPos val="inEnd"/>
          <c:showLegendKey val="0"/>
          <c:showVal val="1"/>
          <c:showCatName val="0"/>
          <c:showSerName val="0"/>
          <c:showPercent val="0"/>
          <c:showBubbleSize val="0"/>
        </c:dLbls>
        <c:gapWidth val="115"/>
        <c:overlap val="-20"/>
        <c:axId val="696546543"/>
        <c:axId val="696532815"/>
      </c:barChart>
      <c:catAx>
        <c:axId val="696546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532815"/>
        <c:crosses val="autoZero"/>
        <c:auto val="1"/>
        <c:lblAlgn val="ctr"/>
        <c:lblOffset val="100"/>
        <c:noMultiLvlLbl val="0"/>
      </c:catAx>
      <c:valAx>
        <c:axId val="696532815"/>
        <c:scaling>
          <c:orientation val="minMax"/>
        </c:scaling>
        <c:delete val="0"/>
        <c:axPos val="b"/>
        <c:majorGridlines>
          <c:spPr>
            <a:ln w="9525" cap="flat" cmpd="sng" algn="ctr">
              <a:solidFill>
                <a:schemeClr val="lt1">
                  <a:lumMod val="95000"/>
                  <a:alpha val="10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5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Project.xlsx]q5!PivotTable9</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'q5'!$A$4:$A$12</c:f>
              <c:strCache>
                <c:ptCount val="8"/>
                <c:pt idx="0">
                  <c:v>United States</c:v>
                </c:pt>
                <c:pt idx="1">
                  <c:v>Canada</c:v>
                </c:pt>
                <c:pt idx="2">
                  <c:v>India</c:v>
                </c:pt>
                <c:pt idx="3">
                  <c:v>Germany</c:v>
                </c:pt>
                <c:pt idx="4">
                  <c:v>United Kingdom</c:v>
                </c:pt>
                <c:pt idx="5">
                  <c:v>France</c:v>
                </c:pt>
                <c:pt idx="6">
                  <c:v>Austrailia</c:v>
                </c:pt>
                <c:pt idx="7">
                  <c:v>New Zealand</c:v>
                </c:pt>
              </c:strCache>
            </c:strRef>
          </c:cat>
          <c:val>
            <c:numRef>
              <c:f>'q5'!$B$4:$B$12</c:f>
              <c:numCache>
                <c:formatCode>"₹"\ #,##0</c:formatCode>
                <c:ptCount val="8"/>
                <c:pt idx="0">
                  <c:v>26576.588</c:v>
                </c:pt>
                <c:pt idx="1">
                  <c:v>17223.675900000002</c:v>
                </c:pt>
                <c:pt idx="2">
                  <c:v>10024.403999999999</c:v>
                </c:pt>
                <c:pt idx="3">
                  <c:v>9655.0216</c:v>
                </c:pt>
                <c:pt idx="4">
                  <c:v>8926.7079999999987</c:v>
                </c:pt>
                <c:pt idx="5">
                  <c:v>8051.4040000000005</c:v>
                </c:pt>
                <c:pt idx="6">
                  <c:v>6862.3400000000011</c:v>
                </c:pt>
                <c:pt idx="7">
                  <c:v>5393.3859999999986</c:v>
                </c:pt>
              </c:numCache>
            </c:numRef>
          </c:val>
          <c:extLst>
            <c:ext xmlns:c16="http://schemas.microsoft.com/office/drawing/2014/chart" uri="{C3380CC4-5D6E-409C-BE32-E72D297353CC}">
              <c16:uniqueId val="{00000000-8C40-48C0-BE68-BF61FD4020AF}"/>
            </c:ext>
          </c:extLst>
        </c:ser>
        <c:dLbls>
          <c:dLblPos val="inEnd"/>
          <c:showLegendKey val="0"/>
          <c:showVal val="1"/>
          <c:showCatName val="0"/>
          <c:showSerName val="0"/>
          <c:showPercent val="0"/>
          <c:showBubbleSize val="0"/>
        </c:dLbls>
        <c:gapWidth val="65"/>
        <c:axId val="696576079"/>
        <c:axId val="696571919"/>
      </c:barChart>
      <c:catAx>
        <c:axId val="6965760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6571919"/>
        <c:crosses val="autoZero"/>
        <c:auto val="1"/>
        <c:lblAlgn val="ctr"/>
        <c:lblOffset val="100"/>
        <c:noMultiLvlLbl val="0"/>
      </c:catAx>
      <c:valAx>
        <c:axId val="6965719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965760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5048-4739-9E4F-0D60C79BC14C}"/>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5048-4739-9E4F-0D60C79BC14C}"/>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5048-4739-9E4F-0D60C79BC14C}"/>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5048-4739-9E4F-0D60C79BC14C}"/>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5048-4739-9E4F-0D60C79BC14C}"/>
              </c:ext>
            </c:extLst>
          </c:dPt>
          <c:dPt>
            <c:idx val="5"/>
            <c:bubble3D val="0"/>
            <c:spPr>
              <a:solidFill>
                <a:srgbClr val="92D050"/>
              </a:solidFill>
              <a:ln w="19050">
                <a:solidFill>
                  <a:schemeClr val="lt1"/>
                </a:solidFill>
              </a:ln>
              <a:effectLst/>
            </c:spPr>
            <c:extLst>
              <c:ext xmlns:c16="http://schemas.microsoft.com/office/drawing/2014/chart" uri="{C3380CC4-5D6E-409C-BE32-E72D297353CC}">
                <c16:uniqueId val="{0000000B-5048-4739-9E4F-0D60C79BC14C}"/>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D-5048-4739-9E4F-0D60C79BC14C}"/>
              </c:ext>
            </c:extLst>
          </c:dPt>
          <c:dPt>
            <c:idx val="7"/>
            <c:bubble3D val="0"/>
            <c:spPr>
              <a:solidFill>
                <a:srgbClr val="92D050"/>
              </a:solidFill>
              <a:ln w="19050">
                <a:solidFill>
                  <a:schemeClr val="lt1"/>
                </a:solidFill>
              </a:ln>
              <a:effectLst/>
            </c:spPr>
            <c:extLst>
              <c:ext xmlns:c16="http://schemas.microsoft.com/office/drawing/2014/chart" uri="{C3380CC4-5D6E-409C-BE32-E72D297353CC}">
                <c16:uniqueId val="{0000000F-5048-4739-9E4F-0D60C79BC14C}"/>
              </c:ext>
            </c:extLst>
          </c:dPt>
          <c:dPt>
            <c:idx val="8"/>
            <c:bubble3D val="0"/>
            <c:spPr>
              <a:solidFill>
                <a:srgbClr val="92D050"/>
              </a:solidFill>
              <a:ln w="19050">
                <a:solidFill>
                  <a:schemeClr val="lt1"/>
                </a:solidFill>
              </a:ln>
              <a:effectLst/>
            </c:spPr>
            <c:extLst>
              <c:ext xmlns:c16="http://schemas.microsoft.com/office/drawing/2014/chart" uri="{C3380CC4-5D6E-409C-BE32-E72D297353CC}">
                <c16:uniqueId val="{00000011-5048-4739-9E4F-0D60C79BC14C}"/>
              </c:ext>
            </c:extLst>
          </c:dPt>
          <c:dPt>
            <c:idx val="9"/>
            <c:bubble3D val="0"/>
            <c:spPr>
              <a:solidFill>
                <a:srgbClr val="92D050"/>
              </a:solidFill>
              <a:ln w="19050">
                <a:solidFill>
                  <a:schemeClr val="lt1"/>
                </a:solidFill>
              </a:ln>
              <a:effectLst/>
            </c:spPr>
            <c:extLst>
              <c:ext xmlns:c16="http://schemas.microsoft.com/office/drawing/2014/chart" uri="{C3380CC4-5D6E-409C-BE32-E72D297353CC}">
                <c16:uniqueId val="{00000013-5048-4739-9E4F-0D60C79BC14C}"/>
              </c:ext>
            </c:extLst>
          </c:dPt>
          <c:dPt>
            <c:idx val="10"/>
            <c:bubble3D val="0"/>
            <c:spPr>
              <a:solidFill>
                <a:srgbClr val="92D050"/>
              </a:solidFill>
              <a:ln w="19050">
                <a:solidFill>
                  <a:schemeClr val="lt1"/>
                </a:solidFill>
              </a:ln>
              <a:effectLst/>
            </c:spPr>
            <c:extLst>
              <c:ext xmlns:c16="http://schemas.microsoft.com/office/drawing/2014/chart" uri="{C3380CC4-5D6E-409C-BE32-E72D297353CC}">
                <c16:uniqueId val="{00000015-5048-4739-9E4F-0D60C79BC14C}"/>
              </c:ext>
            </c:extLst>
          </c:dPt>
          <c:dPt>
            <c:idx val="11"/>
            <c:bubble3D val="0"/>
            <c:spPr>
              <a:solidFill>
                <a:srgbClr val="92D050"/>
              </a:solidFill>
              <a:ln w="19050">
                <a:solidFill>
                  <a:schemeClr val="lt1"/>
                </a:solidFill>
              </a:ln>
              <a:effectLst/>
            </c:spPr>
            <c:extLst>
              <c:ext xmlns:c16="http://schemas.microsoft.com/office/drawing/2014/chart" uri="{C3380CC4-5D6E-409C-BE32-E72D297353CC}">
                <c16:uniqueId val="{00000017-5048-4739-9E4F-0D60C79BC14C}"/>
              </c:ext>
            </c:extLst>
          </c:dPt>
          <c:dPt>
            <c:idx val="12"/>
            <c:bubble3D val="0"/>
            <c:spPr>
              <a:solidFill>
                <a:srgbClr val="92D050"/>
              </a:solidFill>
              <a:ln w="19050">
                <a:solidFill>
                  <a:schemeClr val="lt1"/>
                </a:solidFill>
              </a:ln>
              <a:effectLst/>
            </c:spPr>
            <c:extLst>
              <c:ext xmlns:c16="http://schemas.microsoft.com/office/drawing/2014/chart" uri="{C3380CC4-5D6E-409C-BE32-E72D297353CC}">
                <c16:uniqueId val="{00000019-5048-4739-9E4F-0D60C79BC14C}"/>
              </c:ext>
            </c:extLst>
          </c:dPt>
          <c:dPt>
            <c:idx val="13"/>
            <c:bubble3D val="0"/>
            <c:spPr>
              <a:solidFill>
                <a:srgbClr val="92D050"/>
              </a:solidFill>
              <a:ln w="19050">
                <a:solidFill>
                  <a:schemeClr val="lt1"/>
                </a:solidFill>
              </a:ln>
              <a:effectLst/>
            </c:spPr>
            <c:extLst>
              <c:ext xmlns:c16="http://schemas.microsoft.com/office/drawing/2014/chart" uri="{C3380CC4-5D6E-409C-BE32-E72D297353CC}">
                <c16:uniqueId val="{0000001B-5048-4739-9E4F-0D60C79BC14C}"/>
              </c:ext>
            </c:extLst>
          </c:dPt>
          <c:dPt>
            <c:idx val="14"/>
            <c:bubble3D val="0"/>
            <c:spPr>
              <a:solidFill>
                <a:srgbClr val="92D050"/>
              </a:solidFill>
              <a:ln w="19050">
                <a:solidFill>
                  <a:schemeClr val="lt1"/>
                </a:solidFill>
              </a:ln>
              <a:effectLst/>
            </c:spPr>
            <c:extLst>
              <c:ext xmlns:c16="http://schemas.microsoft.com/office/drawing/2014/chart" uri="{C3380CC4-5D6E-409C-BE32-E72D297353CC}">
                <c16:uniqueId val="{0000001D-5048-4739-9E4F-0D60C79BC14C}"/>
              </c:ext>
            </c:extLst>
          </c:dPt>
          <c:dPt>
            <c:idx val="15"/>
            <c:bubble3D val="0"/>
            <c:spPr>
              <a:solidFill>
                <a:srgbClr val="92D050"/>
              </a:solidFill>
              <a:ln w="19050">
                <a:solidFill>
                  <a:schemeClr val="lt1"/>
                </a:solidFill>
              </a:ln>
              <a:effectLst/>
            </c:spPr>
            <c:extLst>
              <c:ext xmlns:c16="http://schemas.microsoft.com/office/drawing/2014/chart" uri="{C3380CC4-5D6E-409C-BE32-E72D297353CC}">
                <c16:uniqueId val="{0000001F-5048-4739-9E4F-0D60C79BC14C}"/>
              </c:ext>
            </c:extLst>
          </c:dPt>
          <c:dPt>
            <c:idx val="16"/>
            <c:bubble3D val="0"/>
            <c:spPr>
              <a:solidFill>
                <a:srgbClr val="92D050"/>
              </a:solidFill>
              <a:ln w="19050">
                <a:solidFill>
                  <a:schemeClr val="lt1"/>
                </a:solidFill>
              </a:ln>
              <a:effectLst/>
            </c:spPr>
            <c:extLst>
              <c:ext xmlns:c16="http://schemas.microsoft.com/office/drawing/2014/chart" uri="{C3380CC4-5D6E-409C-BE32-E72D297353CC}">
                <c16:uniqueId val="{00000021-5048-4739-9E4F-0D60C79BC14C}"/>
              </c:ext>
            </c:extLst>
          </c:dPt>
          <c:dPt>
            <c:idx val="17"/>
            <c:bubble3D val="0"/>
            <c:spPr>
              <a:solidFill>
                <a:srgbClr val="92D050"/>
              </a:solidFill>
              <a:ln w="19050">
                <a:solidFill>
                  <a:schemeClr val="lt1"/>
                </a:solidFill>
              </a:ln>
              <a:effectLst/>
            </c:spPr>
            <c:extLst>
              <c:ext xmlns:c16="http://schemas.microsoft.com/office/drawing/2014/chart" uri="{C3380CC4-5D6E-409C-BE32-E72D297353CC}">
                <c16:uniqueId val="{00000023-5048-4739-9E4F-0D60C79BC14C}"/>
              </c:ext>
            </c:extLst>
          </c:dPt>
          <c:dPt>
            <c:idx val="18"/>
            <c:bubble3D val="0"/>
            <c:spPr>
              <a:solidFill>
                <a:srgbClr val="92D050"/>
              </a:solidFill>
              <a:ln w="19050">
                <a:solidFill>
                  <a:schemeClr val="lt1"/>
                </a:solidFill>
              </a:ln>
              <a:effectLst/>
            </c:spPr>
            <c:extLst>
              <c:ext xmlns:c16="http://schemas.microsoft.com/office/drawing/2014/chart" uri="{C3380CC4-5D6E-409C-BE32-E72D297353CC}">
                <c16:uniqueId val="{00000025-5048-4739-9E4F-0D60C79BC14C}"/>
              </c:ext>
            </c:extLst>
          </c:dPt>
          <c:dPt>
            <c:idx val="19"/>
            <c:bubble3D val="0"/>
            <c:spPr>
              <a:solidFill>
                <a:srgbClr val="92D050"/>
              </a:solidFill>
              <a:ln w="19050">
                <a:solidFill>
                  <a:schemeClr val="lt1"/>
                </a:solidFill>
              </a:ln>
              <a:effectLst/>
            </c:spPr>
            <c:extLst>
              <c:ext xmlns:c16="http://schemas.microsoft.com/office/drawing/2014/chart" uri="{C3380CC4-5D6E-409C-BE32-E72D297353CC}">
                <c16:uniqueId val="{00000027-5048-4739-9E4F-0D60C79BC14C}"/>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048-4739-9E4F-0D60C79BC14C}"/>
            </c:ext>
          </c:extLst>
        </c:ser>
        <c:dLbls>
          <c:showLegendKey val="0"/>
          <c:showVal val="0"/>
          <c:showCatName val="0"/>
          <c:showSerName val="0"/>
          <c:showPercent val="0"/>
          <c:showBubbleSize val="0"/>
          <c:showLeaderLines val="1"/>
        </c:dLbls>
        <c:firstSliceAng val="10"/>
        <c:holeSize val="60"/>
      </c:doughnutChart>
      <c:doughnutChart>
        <c:varyColors val="1"/>
        <c:ser>
          <c:idx val="1"/>
          <c:order val="1"/>
          <c:tx>
            <c:strRef>
              <c:f>'q2 dashboard'!$A$4</c:f>
              <c:strCache>
                <c:ptCount val="1"/>
                <c:pt idx="0">
                  <c:v>Furniture</c:v>
                </c:pt>
              </c:strCache>
            </c:strRef>
          </c:tx>
          <c:dPt>
            <c:idx val="0"/>
            <c:bubble3D val="0"/>
            <c:spPr>
              <a:noFill/>
              <a:ln w="19050">
                <a:solidFill>
                  <a:schemeClr val="lt1"/>
                </a:solidFill>
              </a:ln>
              <a:effectLst/>
            </c:spPr>
            <c:extLst>
              <c:ext xmlns:c16="http://schemas.microsoft.com/office/drawing/2014/chart" uri="{C3380CC4-5D6E-409C-BE32-E72D297353CC}">
                <c16:uniqueId val="{0000002A-5048-4739-9E4F-0D60C79BC14C}"/>
              </c:ext>
            </c:extLst>
          </c:dPt>
          <c:dPt>
            <c:idx val="1"/>
            <c:bubble3D val="0"/>
            <c:spPr>
              <a:solidFill>
                <a:schemeClr val="bg1">
                  <a:lumMod val="95000"/>
                  <a:alpha val="50000"/>
                </a:schemeClr>
              </a:solidFill>
              <a:ln w="19050">
                <a:solidFill>
                  <a:schemeClr val="lt1"/>
                </a:solidFill>
              </a:ln>
              <a:effectLst/>
            </c:spPr>
            <c:extLst>
              <c:ext xmlns:c16="http://schemas.microsoft.com/office/drawing/2014/chart" uri="{C3380CC4-5D6E-409C-BE32-E72D297353CC}">
                <c16:uniqueId val="{0000002C-5048-4739-9E4F-0D60C79BC14C}"/>
              </c:ext>
            </c:extLst>
          </c:dPt>
          <c:val>
            <c:numRef>
              <c:f>'q2 dashboard'!$B$4:$C$4</c:f>
              <c:numCache>
                <c:formatCode>0%</c:formatCode>
                <c:ptCount val="2"/>
                <c:pt idx="0">
                  <c:v>0.13468061546162879</c:v>
                </c:pt>
                <c:pt idx="1">
                  <c:v>0.86531938453837121</c:v>
                </c:pt>
              </c:numCache>
            </c:numRef>
          </c:val>
          <c:extLst>
            <c:ext xmlns:c16="http://schemas.microsoft.com/office/drawing/2014/chart" uri="{C3380CC4-5D6E-409C-BE32-E72D297353CC}">
              <c16:uniqueId val="{0000002D-5048-4739-9E4F-0D60C79BC14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A9A6-426A-8BA3-9EDD248D2A7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9A6-426A-8BA3-9EDD248D2A70}"/>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A9A6-426A-8BA3-9EDD248D2A70}"/>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A9A6-426A-8BA3-9EDD248D2A70}"/>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A9A6-426A-8BA3-9EDD248D2A70}"/>
              </c:ext>
            </c:extLst>
          </c:dPt>
          <c:dPt>
            <c:idx val="5"/>
            <c:bubble3D val="0"/>
            <c:spPr>
              <a:solidFill>
                <a:srgbClr val="FFC000"/>
              </a:solidFill>
              <a:ln w="19050">
                <a:solidFill>
                  <a:schemeClr val="lt1"/>
                </a:solidFill>
              </a:ln>
              <a:effectLst/>
            </c:spPr>
            <c:extLst>
              <c:ext xmlns:c16="http://schemas.microsoft.com/office/drawing/2014/chart" uri="{C3380CC4-5D6E-409C-BE32-E72D297353CC}">
                <c16:uniqueId val="{0000000B-A9A6-426A-8BA3-9EDD248D2A70}"/>
              </c:ext>
            </c:extLst>
          </c:dPt>
          <c:dPt>
            <c:idx val="6"/>
            <c:bubble3D val="0"/>
            <c:spPr>
              <a:solidFill>
                <a:srgbClr val="FFC000"/>
              </a:solidFill>
              <a:ln w="19050">
                <a:solidFill>
                  <a:schemeClr val="lt1"/>
                </a:solidFill>
              </a:ln>
              <a:effectLst/>
            </c:spPr>
            <c:extLst>
              <c:ext xmlns:c16="http://schemas.microsoft.com/office/drawing/2014/chart" uri="{C3380CC4-5D6E-409C-BE32-E72D297353CC}">
                <c16:uniqueId val="{0000000D-A9A6-426A-8BA3-9EDD248D2A70}"/>
              </c:ext>
            </c:extLst>
          </c:dPt>
          <c:dPt>
            <c:idx val="7"/>
            <c:bubble3D val="0"/>
            <c:spPr>
              <a:solidFill>
                <a:srgbClr val="FFC000"/>
              </a:solidFill>
              <a:ln w="19050">
                <a:solidFill>
                  <a:schemeClr val="lt1"/>
                </a:solidFill>
              </a:ln>
              <a:effectLst/>
            </c:spPr>
            <c:extLst>
              <c:ext xmlns:c16="http://schemas.microsoft.com/office/drawing/2014/chart" uri="{C3380CC4-5D6E-409C-BE32-E72D297353CC}">
                <c16:uniqueId val="{0000000F-A9A6-426A-8BA3-9EDD248D2A70}"/>
              </c:ext>
            </c:extLst>
          </c:dPt>
          <c:dPt>
            <c:idx val="8"/>
            <c:bubble3D val="0"/>
            <c:spPr>
              <a:solidFill>
                <a:srgbClr val="FFC000"/>
              </a:solidFill>
              <a:ln w="19050">
                <a:solidFill>
                  <a:schemeClr val="lt1"/>
                </a:solidFill>
              </a:ln>
              <a:effectLst/>
            </c:spPr>
            <c:extLst>
              <c:ext xmlns:c16="http://schemas.microsoft.com/office/drawing/2014/chart" uri="{C3380CC4-5D6E-409C-BE32-E72D297353CC}">
                <c16:uniqueId val="{00000011-A9A6-426A-8BA3-9EDD248D2A70}"/>
              </c:ext>
            </c:extLst>
          </c:dPt>
          <c:dPt>
            <c:idx val="9"/>
            <c:bubble3D val="0"/>
            <c:spPr>
              <a:solidFill>
                <a:srgbClr val="FFC000"/>
              </a:solidFill>
              <a:ln w="19050">
                <a:solidFill>
                  <a:schemeClr val="lt1"/>
                </a:solidFill>
              </a:ln>
              <a:effectLst/>
            </c:spPr>
            <c:extLst>
              <c:ext xmlns:c16="http://schemas.microsoft.com/office/drawing/2014/chart" uri="{C3380CC4-5D6E-409C-BE32-E72D297353CC}">
                <c16:uniqueId val="{00000013-A9A6-426A-8BA3-9EDD248D2A70}"/>
              </c:ext>
            </c:extLst>
          </c:dPt>
          <c:dPt>
            <c:idx val="10"/>
            <c:bubble3D val="0"/>
            <c:spPr>
              <a:solidFill>
                <a:srgbClr val="FFC000"/>
              </a:solidFill>
              <a:ln w="19050">
                <a:solidFill>
                  <a:schemeClr val="lt1"/>
                </a:solidFill>
              </a:ln>
              <a:effectLst/>
            </c:spPr>
            <c:extLst>
              <c:ext xmlns:c16="http://schemas.microsoft.com/office/drawing/2014/chart" uri="{C3380CC4-5D6E-409C-BE32-E72D297353CC}">
                <c16:uniqueId val="{00000015-A9A6-426A-8BA3-9EDD248D2A70}"/>
              </c:ext>
            </c:extLst>
          </c:dPt>
          <c:dPt>
            <c:idx val="11"/>
            <c:bubble3D val="0"/>
            <c:spPr>
              <a:solidFill>
                <a:srgbClr val="FFC000"/>
              </a:solidFill>
              <a:ln w="19050">
                <a:solidFill>
                  <a:schemeClr val="lt1"/>
                </a:solidFill>
              </a:ln>
              <a:effectLst/>
            </c:spPr>
            <c:extLst>
              <c:ext xmlns:c16="http://schemas.microsoft.com/office/drawing/2014/chart" uri="{C3380CC4-5D6E-409C-BE32-E72D297353CC}">
                <c16:uniqueId val="{00000017-A9A6-426A-8BA3-9EDD248D2A70}"/>
              </c:ext>
            </c:extLst>
          </c:dPt>
          <c:dPt>
            <c:idx val="12"/>
            <c:bubble3D val="0"/>
            <c:spPr>
              <a:solidFill>
                <a:srgbClr val="FFC000"/>
              </a:solidFill>
              <a:ln w="19050">
                <a:solidFill>
                  <a:schemeClr val="lt1"/>
                </a:solidFill>
              </a:ln>
              <a:effectLst/>
            </c:spPr>
            <c:extLst>
              <c:ext xmlns:c16="http://schemas.microsoft.com/office/drawing/2014/chart" uri="{C3380CC4-5D6E-409C-BE32-E72D297353CC}">
                <c16:uniqueId val="{00000019-A9A6-426A-8BA3-9EDD248D2A70}"/>
              </c:ext>
            </c:extLst>
          </c:dPt>
          <c:dPt>
            <c:idx val="13"/>
            <c:bubble3D val="0"/>
            <c:spPr>
              <a:solidFill>
                <a:srgbClr val="FFC000"/>
              </a:solidFill>
              <a:ln w="19050">
                <a:solidFill>
                  <a:schemeClr val="lt1"/>
                </a:solidFill>
              </a:ln>
              <a:effectLst/>
            </c:spPr>
            <c:extLst>
              <c:ext xmlns:c16="http://schemas.microsoft.com/office/drawing/2014/chart" uri="{C3380CC4-5D6E-409C-BE32-E72D297353CC}">
                <c16:uniqueId val="{0000001B-A9A6-426A-8BA3-9EDD248D2A70}"/>
              </c:ext>
            </c:extLst>
          </c:dPt>
          <c:dPt>
            <c:idx val="14"/>
            <c:bubble3D val="0"/>
            <c:spPr>
              <a:solidFill>
                <a:srgbClr val="FFC000"/>
              </a:solidFill>
              <a:ln w="19050">
                <a:solidFill>
                  <a:schemeClr val="lt1"/>
                </a:solidFill>
              </a:ln>
              <a:effectLst/>
            </c:spPr>
            <c:extLst>
              <c:ext xmlns:c16="http://schemas.microsoft.com/office/drawing/2014/chart" uri="{C3380CC4-5D6E-409C-BE32-E72D297353CC}">
                <c16:uniqueId val="{0000001D-A9A6-426A-8BA3-9EDD248D2A70}"/>
              </c:ext>
            </c:extLst>
          </c:dPt>
          <c:dPt>
            <c:idx val="15"/>
            <c:bubble3D val="0"/>
            <c:spPr>
              <a:solidFill>
                <a:srgbClr val="FFC000"/>
              </a:solidFill>
              <a:ln w="19050">
                <a:solidFill>
                  <a:schemeClr val="lt1"/>
                </a:solidFill>
              </a:ln>
              <a:effectLst/>
            </c:spPr>
            <c:extLst>
              <c:ext xmlns:c16="http://schemas.microsoft.com/office/drawing/2014/chart" uri="{C3380CC4-5D6E-409C-BE32-E72D297353CC}">
                <c16:uniqueId val="{0000001F-A9A6-426A-8BA3-9EDD248D2A70}"/>
              </c:ext>
            </c:extLst>
          </c:dPt>
          <c:dPt>
            <c:idx val="16"/>
            <c:bubble3D val="0"/>
            <c:spPr>
              <a:solidFill>
                <a:srgbClr val="FFC000"/>
              </a:solidFill>
              <a:ln w="19050">
                <a:solidFill>
                  <a:schemeClr val="lt1"/>
                </a:solidFill>
              </a:ln>
              <a:effectLst/>
            </c:spPr>
            <c:extLst>
              <c:ext xmlns:c16="http://schemas.microsoft.com/office/drawing/2014/chart" uri="{C3380CC4-5D6E-409C-BE32-E72D297353CC}">
                <c16:uniqueId val="{00000021-A9A6-426A-8BA3-9EDD248D2A70}"/>
              </c:ext>
            </c:extLst>
          </c:dPt>
          <c:dPt>
            <c:idx val="17"/>
            <c:bubble3D val="0"/>
            <c:spPr>
              <a:solidFill>
                <a:srgbClr val="FFC000"/>
              </a:solidFill>
              <a:ln w="19050">
                <a:solidFill>
                  <a:schemeClr val="lt1"/>
                </a:solidFill>
              </a:ln>
              <a:effectLst/>
            </c:spPr>
            <c:extLst>
              <c:ext xmlns:c16="http://schemas.microsoft.com/office/drawing/2014/chart" uri="{C3380CC4-5D6E-409C-BE32-E72D297353CC}">
                <c16:uniqueId val="{00000023-A9A6-426A-8BA3-9EDD248D2A70}"/>
              </c:ext>
            </c:extLst>
          </c:dPt>
          <c:dPt>
            <c:idx val="18"/>
            <c:bubble3D val="0"/>
            <c:spPr>
              <a:solidFill>
                <a:srgbClr val="FFC000"/>
              </a:solidFill>
              <a:ln w="19050">
                <a:solidFill>
                  <a:schemeClr val="lt1"/>
                </a:solidFill>
              </a:ln>
              <a:effectLst/>
            </c:spPr>
            <c:extLst>
              <c:ext xmlns:c16="http://schemas.microsoft.com/office/drawing/2014/chart" uri="{C3380CC4-5D6E-409C-BE32-E72D297353CC}">
                <c16:uniqueId val="{00000025-A9A6-426A-8BA3-9EDD248D2A70}"/>
              </c:ext>
            </c:extLst>
          </c:dPt>
          <c:dPt>
            <c:idx val="19"/>
            <c:bubble3D val="0"/>
            <c:spPr>
              <a:solidFill>
                <a:srgbClr val="FFC000"/>
              </a:solidFill>
              <a:ln w="19050">
                <a:solidFill>
                  <a:schemeClr val="lt1"/>
                </a:solidFill>
              </a:ln>
              <a:effectLst/>
            </c:spPr>
            <c:extLst>
              <c:ext xmlns:c16="http://schemas.microsoft.com/office/drawing/2014/chart" uri="{C3380CC4-5D6E-409C-BE32-E72D297353CC}">
                <c16:uniqueId val="{00000027-A9A6-426A-8BA3-9EDD248D2A7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A9A6-426A-8BA3-9EDD248D2A70}"/>
            </c:ext>
          </c:extLst>
        </c:ser>
        <c:dLbls>
          <c:showLegendKey val="0"/>
          <c:showVal val="0"/>
          <c:showCatName val="0"/>
          <c:showSerName val="0"/>
          <c:showPercent val="0"/>
          <c:showBubbleSize val="0"/>
          <c:showLeaderLines val="1"/>
        </c:dLbls>
        <c:firstSliceAng val="10"/>
        <c:holeSize val="60"/>
      </c:doughnutChart>
      <c:doughnutChart>
        <c:varyColors val="1"/>
        <c:ser>
          <c:idx val="1"/>
          <c:order val="1"/>
          <c:tx>
            <c:strRef>
              <c:f>'q2 dashboard'!$A$6</c:f>
              <c:strCache>
                <c:ptCount val="1"/>
                <c:pt idx="0">
                  <c:v>Technology</c:v>
                </c:pt>
              </c:strCache>
            </c:strRef>
          </c:tx>
          <c:dPt>
            <c:idx val="0"/>
            <c:bubble3D val="0"/>
            <c:spPr>
              <a:noFill/>
              <a:ln w="19050">
                <a:solidFill>
                  <a:schemeClr val="lt1"/>
                </a:solidFill>
              </a:ln>
              <a:effectLst/>
            </c:spPr>
            <c:extLst>
              <c:ext xmlns:c16="http://schemas.microsoft.com/office/drawing/2014/chart" uri="{C3380CC4-5D6E-409C-BE32-E72D297353CC}">
                <c16:uniqueId val="{0000002A-A9A6-426A-8BA3-9EDD248D2A70}"/>
              </c:ext>
            </c:extLst>
          </c:dPt>
          <c:dPt>
            <c:idx val="1"/>
            <c:bubble3D val="0"/>
            <c:spPr>
              <a:solidFill>
                <a:schemeClr val="bg1">
                  <a:lumMod val="95000"/>
                  <a:alpha val="50000"/>
                </a:schemeClr>
              </a:solidFill>
              <a:ln w="19050">
                <a:solidFill>
                  <a:schemeClr val="lt1"/>
                </a:solidFill>
              </a:ln>
              <a:effectLst/>
            </c:spPr>
            <c:extLst>
              <c:ext xmlns:c16="http://schemas.microsoft.com/office/drawing/2014/chart" uri="{C3380CC4-5D6E-409C-BE32-E72D297353CC}">
                <c16:uniqueId val="{0000002C-A9A6-426A-8BA3-9EDD248D2A70}"/>
              </c:ext>
            </c:extLst>
          </c:dPt>
          <c:val>
            <c:numRef>
              <c:f>'q2 dashboard'!$B$6:$C$6</c:f>
              <c:numCache>
                <c:formatCode>0%</c:formatCode>
                <c:ptCount val="2"/>
                <c:pt idx="0">
                  <c:v>9.0439504053783218E-2</c:v>
                </c:pt>
                <c:pt idx="1">
                  <c:v>0.9095604959462168</c:v>
                </c:pt>
              </c:numCache>
            </c:numRef>
          </c:val>
          <c:extLst>
            <c:ext xmlns:c16="http://schemas.microsoft.com/office/drawing/2014/chart" uri="{C3380CC4-5D6E-409C-BE32-E72D297353CC}">
              <c16:uniqueId val="{0000002D-A9A6-426A-8BA3-9EDD248D2A7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3771-4073-8D03-83523D69DED0}"/>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3771-4073-8D03-83523D69DED0}"/>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3771-4073-8D03-83523D69DED0}"/>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3771-4073-8D03-83523D69DED0}"/>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3771-4073-8D03-83523D69DED0}"/>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3771-4073-8D03-83523D69DED0}"/>
              </c:ext>
            </c:extLst>
          </c:dPt>
          <c:dPt>
            <c:idx val="6"/>
            <c:bubble3D val="0"/>
            <c:spPr>
              <a:solidFill>
                <a:srgbClr val="FF0000"/>
              </a:solidFill>
              <a:ln w="19050">
                <a:solidFill>
                  <a:schemeClr val="lt1"/>
                </a:solidFill>
              </a:ln>
              <a:effectLst/>
            </c:spPr>
            <c:extLst>
              <c:ext xmlns:c16="http://schemas.microsoft.com/office/drawing/2014/chart" uri="{C3380CC4-5D6E-409C-BE32-E72D297353CC}">
                <c16:uniqueId val="{0000000D-3771-4073-8D03-83523D69DED0}"/>
              </c:ext>
            </c:extLst>
          </c:dPt>
          <c:dPt>
            <c:idx val="7"/>
            <c:bubble3D val="0"/>
            <c:spPr>
              <a:solidFill>
                <a:srgbClr val="FF0000"/>
              </a:solidFill>
              <a:ln w="19050">
                <a:solidFill>
                  <a:schemeClr val="lt1"/>
                </a:solidFill>
              </a:ln>
              <a:effectLst/>
            </c:spPr>
            <c:extLst>
              <c:ext xmlns:c16="http://schemas.microsoft.com/office/drawing/2014/chart" uri="{C3380CC4-5D6E-409C-BE32-E72D297353CC}">
                <c16:uniqueId val="{0000000F-3771-4073-8D03-83523D69DED0}"/>
              </c:ext>
            </c:extLst>
          </c:dPt>
          <c:dPt>
            <c:idx val="8"/>
            <c:bubble3D val="0"/>
            <c:spPr>
              <a:solidFill>
                <a:srgbClr val="FF0000"/>
              </a:solidFill>
              <a:ln w="19050">
                <a:solidFill>
                  <a:schemeClr val="lt1"/>
                </a:solidFill>
              </a:ln>
              <a:effectLst/>
            </c:spPr>
            <c:extLst>
              <c:ext xmlns:c16="http://schemas.microsoft.com/office/drawing/2014/chart" uri="{C3380CC4-5D6E-409C-BE32-E72D297353CC}">
                <c16:uniqueId val="{00000011-3771-4073-8D03-83523D69DED0}"/>
              </c:ext>
            </c:extLst>
          </c:dPt>
          <c:dPt>
            <c:idx val="9"/>
            <c:bubble3D val="0"/>
            <c:spPr>
              <a:solidFill>
                <a:srgbClr val="FF0000"/>
              </a:solidFill>
              <a:ln w="19050">
                <a:solidFill>
                  <a:schemeClr val="lt1"/>
                </a:solidFill>
              </a:ln>
              <a:effectLst/>
            </c:spPr>
            <c:extLst>
              <c:ext xmlns:c16="http://schemas.microsoft.com/office/drawing/2014/chart" uri="{C3380CC4-5D6E-409C-BE32-E72D297353CC}">
                <c16:uniqueId val="{00000013-3771-4073-8D03-83523D69DED0}"/>
              </c:ext>
            </c:extLst>
          </c:dPt>
          <c:dPt>
            <c:idx val="10"/>
            <c:bubble3D val="0"/>
            <c:spPr>
              <a:solidFill>
                <a:srgbClr val="FF0000"/>
              </a:solidFill>
              <a:ln w="19050">
                <a:solidFill>
                  <a:schemeClr val="lt1"/>
                </a:solidFill>
              </a:ln>
              <a:effectLst/>
            </c:spPr>
            <c:extLst>
              <c:ext xmlns:c16="http://schemas.microsoft.com/office/drawing/2014/chart" uri="{C3380CC4-5D6E-409C-BE32-E72D297353CC}">
                <c16:uniqueId val="{00000015-3771-4073-8D03-83523D69DED0}"/>
              </c:ext>
            </c:extLst>
          </c:dPt>
          <c:dPt>
            <c:idx val="11"/>
            <c:bubble3D val="0"/>
            <c:spPr>
              <a:solidFill>
                <a:srgbClr val="FF0000"/>
              </a:solidFill>
              <a:ln w="19050">
                <a:solidFill>
                  <a:schemeClr val="lt1"/>
                </a:solidFill>
              </a:ln>
              <a:effectLst/>
            </c:spPr>
            <c:extLst>
              <c:ext xmlns:c16="http://schemas.microsoft.com/office/drawing/2014/chart" uri="{C3380CC4-5D6E-409C-BE32-E72D297353CC}">
                <c16:uniqueId val="{00000017-3771-4073-8D03-83523D69DED0}"/>
              </c:ext>
            </c:extLst>
          </c:dPt>
          <c:dPt>
            <c:idx val="12"/>
            <c:bubble3D val="0"/>
            <c:spPr>
              <a:solidFill>
                <a:srgbClr val="FF0000"/>
              </a:solidFill>
              <a:ln w="19050">
                <a:solidFill>
                  <a:schemeClr val="lt1"/>
                </a:solidFill>
              </a:ln>
              <a:effectLst/>
            </c:spPr>
            <c:extLst>
              <c:ext xmlns:c16="http://schemas.microsoft.com/office/drawing/2014/chart" uri="{C3380CC4-5D6E-409C-BE32-E72D297353CC}">
                <c16:uniqueId val="{00000019-3771-4073-8D03-83523D69DED0}"/>
              </c:ext>
            </c:extLst>
          </c:dPt>
          <c:dPt>
            <c:idx val="13"/>
            <c:bubble3D val="0"/>
            <c:spPr>
              <a:solidFill>
                <a:srgbClr val="FF0000"/>
              </a:solidFill>
              <a:ln w="19050">
                <a:solidFill>
                  <a:schemeClr val="lt1"/>
                </a:solidFill>
              </a:ln>
              <a:effectLst/>
            </c:spPr>
            <c:extLst>
              <c:ext xmlns:c16="http://schemas.microsoft.com/office/drawing/2014/chart" uri="{C3380CC4-5D6E-409C-BE32-E72D297353CC}">
                <c16:uniqueId val="{0000001B-3771-4073-8D03-83523D69DED0}"/>
              </c:ext>
            </c:extLst>
          </c:dPt>
          <c:dPt>
            <c:idx val="14"/>
            <c:bubble3D val="0"/>
            <c:spPr>
              <a:solidFill>
                <a:srgbClr val="FF0000"/>
              </a:solidFill>
              <a:ln w="19050">
                <a:solidFill>
                  <a:schemeClr val="lt1"/>
                </a:solidFill>
              </a:ln>
              <a:effectLst/>
            </c:spPr>
            <c:extLst>
              <c:ext xmlns:c16="http://schemas.microsoft.com/office/drawing/2014/chart" uri="{C3380CC4-5D6E-409C-BE32-E72D297353CC}">
                <c16:uniqueId val="{0000001D-3771-4073-8D03-83523D69DED0}"/>
              </c:ext>
            </c:extLst>
          </c:dPt>
          <c:dPt>
            <c:idx val="15"/>
            <c:bubble3D val="0"/>
            <c:spPr>
              <a:solidFill>
                <a:srgbClr val="FF0000"/>
              </a:solidFill>
              <a:ln w="19050">
                <a:solidFill>
                  <a:schemeClr val="lt1"/>
                </a:solidFill>
              </a:ln>
              <a:effectLst/>
            </c:spPr>
            <c:extLst>
              <c:ext xmlns:c16="http://schemas.microsoft.com/office/drawing/2014/chart" uri="{C3380CC4-5D6E-409C-BE32-E72D297353CC}">
                <c16:uniqueId val="{0000001F-3771-4073-8D03-83523D69DED0}"/>
              </c:ext>
            </c:extLst>
          </c:dPt>
          <c:dPt>
            <c:idx val="16"/>
            <c:bubble3D val="0"/>
            <c:spPr>
              <a:solidFill>
                <a:srgbClr val="FF0000"/>
              </a:solidFill>
              <a:ln w="19050">
                <a:solidFill>
                  <a:schemeClr val="lt1"/>
                </a:solidFill>
              </a:ln>
              <a:effectLst/>
            </c:spPr>
            <c:extLst>
              <c:ext xmlns:c16="http://schemas.microsoft.com/office/drawing/2014/chart" uri="{C3380CC4-5D6E-409C-BE32-E72D297353CC}">
                <c16:uniqueId val="{00000021-3771-4073-8D03-83523D69DED0}"/>
              </c:ext>
            </c:extLst>
          </c:dPt>
          <c:dPt>
            <c:idx val="17"/>
            <c:bubble3D val="0"/>
            <c:spPr>
              <a:solidFill>
                <a:srgbClr val="FF0000"/>
              </a:solidFill>
              <a:ln w="19050">
                <a:solidFill>
                  <a:schemeClr val="lt1"/>
                </a:solidFill>
              </a:ln>
              <a:effectLst/>
            </c:spPr>
            <c:extLst>
              <c:ext xmlns:c16="http://schemas.microsoft.com/office/drawing/2014/chart" uri="{C3380CC4-5D6E-409C-BE32-E72D297353CC}">
                <c16:uniqueId val="{00000023-3771-4073-8D03-83523D69DED0}"/>
              </c:ext>
            </c:extLst>
          </c:dPt>
          <c:dPt>
            <c:idx val="18"/>
            <c:bubble3D val="0"/>
            <c:spPr>
              <a:solidFill>
                <a:srgbClr val="FF0000"/>
              </a:solidFill>
              <a:ln w="19050">
                <a:solidFill>
                  <a:schemeClr val="lt1"/>
                </a:solidFill>
              </a:ln>
              <a:effectLst/>
            </c:spPr>
            <c:extLst>
              <c:ext xmlns:c16="http://schemas.microsoft.com/office/drawing/2014/chart" uri="{C3380CC4-5D6E-409C-BE32-E72D297353CC}">
                <c16:uniqueId val="{00000025-3771-4073-8D03-83523D69DED0}"/>
              </c:ext>
            </c:extLst>
          </c:dPt>
          <c:dPt>
            <c:idx val="19"/>
            <c:bubble3D val="0"/>
            <c:spPr>
              <a:solidFill>
                <a:srgbClr val="FF0000"/>
              </a:solidFill>
              <a:ln w="19050">
                <a:solidFill>
                  <a:schemeClr val="lt1"/>
                </a:solidFill>
              </a:ln>
              <a:effectLst/>
            </c:spPr>
            <c:extLst>
              <c:ext xmlns:c16="http://schemas.microsoft.com/office/drawing/2014/chart" uri="{C3380CC4-5D6E-409C-BE32-E72D297353CC}">
                <c16:uniqueId val="{00000027-3771-4073-8D03-83523D69DED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771-4073-8D03-83523D69DED0}"/>
            </c:ext>
          </c:extLst>
        </c:ser>
        <c:dLbls>
          <c:showLegendKey val="0"/>
          <c:showVal val="0"/>
          <c:showCatName val="0"/>
          <c:showSerName val="0"/>
          <c:showPercent val="0"/>
          <c:showBubbleSize val="0"/>
          <c:showLeaderLines val="1"/>
        </c:dLbls>
        <c:firstSliceAng val="10"/>
        <c:holeSize val="60"/>
      </c:doughnutChart>
      <c:doughnutChart>
        <c:varyColors val="1"/>
        <c:ser>
          <c:idx val="1"/>
          <c:order val="1"/>
          <c:tx>
            <c:strRef>
              <c:f>'q2 dashboard'!$A$5</c:f>
              <c:strCache>
                <c:ptCount val="1"/>
                <c:pt idx="0">
                  <c:v>Office Supplies</c:v>
                </c:pt>
              </c:strCache>
            </c:strRef>
          </c:tx>
          <c:dPt>
            <c:idx val="0"/>
            <c:bubble3D val="0"/>
            <c:spPr>
              <a:noFill/>
              <a:ln w="19050">
                <a:solidFill>
                  <a:schemeClr val="lt1"/>
                </a:solidFill>
              </a:ln>
              <a:effectLst/>
            </c:spPr>
            <c:extLst>
              <c:ext xmlns:c16="http://schemas.microsoft.com/office/drawing/2014/chart" uri="{C3380CC4-5D6E-409C-BE32-E72D297353CC}">
                <c16:uniqueId val="{0000002A-3771-4073-8D03-83523D69DED0}"/>
              </c:ext>
            </c:extLst>
          </c:dPt>
          <c:dPt>
            <c:idx val="1"/>
            <c:bubble3D val="0"/>
            <c:spPr>
              <a:solidFill>
                <a:schemeClr val="bg1">
                  <a:lumMod val="95000"/>
                  <a:alpha val="50000"/>
                </a:schemeClr>
              </a:solidFill>
              <a:ln w="19050">
                <a:solidFill>
                  <a:schemeClr val="lt1"/>
                </a:solidFill>
              </a:ln>
              <a:effectLst/>
            </c:spPr>
            <c:extLst>
              <c:ext xmlns:c16="http://schemas.microsoft.com/office/drawing/2014/chart" uri="{C3380CC4-5D6E-409C-BE32-E72D297353CC}">
                <c16:uniqueId val="{0000002C-3771-4073-8D03-83523D69DED0}"/>
              </c:ext>
            </c:extLst>
          </c:dPt>
          <c:val>
            <c:numRef>
              <c:f>'q2 dashboard'!$B$5:$C$5</c:f>
              <c:numCache>
                <c:formatCode>0%</c:formatCode>
                <c:ptCount val="2"/>
                <c:pt idx="0">
                  <c:v>0.774879880484588</c:v>
                </c:pt>
                <c:pt idx="1">
                  <c:v>0.225120119515412</c:v>
                </c:pt>
              </c:numCache>
            </c:numRef>
          </c:val>
          <c:extLst>
            <c:ext xmlns:c16="http://schemas.microsoft.com/office/drawing/2014/chart" uri="{C3380CC4-5D6E-409C-BE32-E72D297353CC}">
              <c16:uniqueId val="{0000002D-3771-4073-8D03-83523D69DED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6</xdr:col>
      <xdr:colOff>0</xdr:colOff>
      <xdr:row>12</xdr:row>
      <xdr:rowOff>0</xdr:rowOff>
    </xdr:from>
    <xdr:to>
      <xdr:col>16</xdr:col>
      <xdr:colOff>451891</xdr:colOff>
      <xdr:row>37</xdr:row>
      <xdr:rowOff>124250</xdr:rowOff>
    </xdr:to>
    <xdr:graphicFrame macro="">
      <xdr:nvGraphicFramePr>
        <xdr:cNvPr id="7" name="Chart 6">
          <a:extLst>
            <a:ext uri="{FF2B5EF4-FFF2-40B4-BE49-F238E27FC236}">
              <a16:creationId xmlns:a16="http://schemas.microsoft.com/office/drawing/2014/main" id="{878B4FAD-7B08-413F-B563-EA3C3854D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0.16667</cdr:x>
      <cdr:y>0.00629</cdr:y>
    </cdr:from>
    <cdr:to>
      <cdr:x>0.4236</cdr:x>
      <cdr:y>0.2831</cdr:y>
    </cdr:to>
    <cdr:sp macro="" textlink="">
      <cdr:nvSpPr>
        <cdr:cNvPr id="2" name="TextBox 1">
          <a:extLst xmlns:a="http://schemas.openxmlformats.org/drawingml/2006/main">
            <a:ext uri="{FF2B5EF4-FFF2-40B4-BE49-F238E27FC236}">
              <a16:creationId xmlns:a16="http://schemas.microsoft.com/office/drawing/2014/main" id="{713C0578-3E52-488D-82C6-1B0C8C829A83}"/>
            </a:ext>
          </a:extLst>
        </cdr:cNvPr>
        <cdr:cNvSpPr txBox="1"/>
      </cdr:nvSpPr>
      <cdr:spPr>
        <a:xfrm xmlns:a="http://schemas.openxmlformats.org/drawingml/2006/main">
          <a:off x="992188" y="26195"/>
          <a:ext cx="1529556" cy="11525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0.4256</cdr:x>
      <cdr:y>0.02995</cdr:y>
    </cdr:from>
    <cdr:to>
      <cdr:x>0.56274</cdr:x>
      <cdr:y>0.26709</cdr:y>
    </cdr:to>
    <cdr:sp macro="" textlink="">
      <cdr:nvSpPr>
        <cdr:cNvPr id="3" name="TextBox 2">
          <a:extLst xmlns:a="http://schemas.openxmlformats.org/drawingml/2006/main">
            <a:ext uri="{FF2B5EF4-FFF2-40B4-BE49-F238E27FC236}">
              <a16:creationId xmlns:a16="http://schemas.microsoft.com/office/drawing/2014/main" id="{36E11F59-2B99-42DE-B840-12BA3B9FD6A2}"/>
            </a:ext>
          </a:extLst>
        </cdr:cNvPr>
        <cdr:cNvSpPr txBox="1"/>
      </cdr:nvSpPr>
      <cdr:spPr>
        <a:xfrm xmlns:a="http://schemas.openxmlformats.org/drawingml/2006/main">
          <a:off x="2837657" y="11549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b="1"/>
            <a:t>count of total categary in country</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16</xdr:col>
      <xdr:colOff>338819</xdr:colOff>
      <xdr:row>22</xdr:row>
      <xdr:rowOff>32102</xdr:rowOff>
    </xdr:to>
    <xdr:graphicFrame macro="">
      <xdr:nvGraphicFramePr>
        <xdr:cNvPr id="7" name="Chart 6">
          <a:extLst>
            <a:ext uri="{FF2B5EF4-FFF2-40B4-BE49-F238E27FC236}">
              <a16:creationId xmlns:a16="http://schemas.microsoft.com/office/drawing/2014/main" id="{6092EE32-240C-4E39-98F2-1ED34FFCB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0.56019</cdr:x>
      <cdr:y>0.07007</cdr:y>
    </cdr:from>
    <cdr:to>
      <cdr:x>0.64581</cdr:x>
      <cdr:y>0.18394</cdr:y>
    </cdr:to>
    <cdr:sp macro="" textlink="">
      <cdr:nvSpPr>
        <cdr:cNvPr id="2" name="TextBox 1">
          <a:extLst xmlns:a="http://schemas.openxmlformats.org/drawingml/2006/main">
            <a:ext uri="{FF2B5EF4-FFF2-40B4-BE49-F238E27FC236}">
              <a16:creationId xmlns:a16="http://schemas.microsoft.com/office/drawing/2014/main" id="{AB03DC82-5367-4BBC-B941-920AD65EACBD}"/>
            </a:ext>
          </a:extLst>
        </cdr:cNvPr>
        <cdr:cNvSpPr txBox="1"/>
      </cdr:nvSpPr>
      <cdr:spPr>
        <a:xfrm xmlns:a="http://schemas.openxmlformats.org/drawingml/2006/main">
          <a:off x="4320824" y="270934"/>
          <a:ext cx="660400" cy="44026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All</a:t>
          </a:r>
          <a:r>
            <a:rPr lang="en-IN" sz="1200" b="1" baseline="0"/>
            <a:t> country show values</a:t>
          </a:r>
          <a:endParaRPr lang="en-IN" sz="1200" b="1"/>
        </a:p>
      </cdr:txBody>
    </cdr:sp>
  </cdr:relSizeAnchor>
</c:userShapes>
</file>

<file path=xl/drawings/drawing5.xml><?xml version="1.0" encoding="utf-8"?>
<xdr:wsDr xmlns:xdr="http://schemas.openxmlformats.org/drawingml/2006/spreadsheetDrawing" xmlns:a="http://schemas.openxmlformats.org/drawingml/2006/main">
  <xdr:oneCellAnchor>
    <xdr:from>
      <xdr:col>5</xdr:col>
      <xdr:colOff>235185</xdr:colOff>
      <xdr:row>3</xdr:row>
      <xdr:rowOff>54876</xdr:rowOff>
    </xdr:from>
    <xdr:ext cx="184731" cy="264560"/>
    <xdr:sp macro="" textlink="">
      <xdr:nvSpPr>
        <xdr:cNvPr id="13" name="TextBox 12">
          <a:extLst>
            <a:ext uri="{FF2B5EF4-FFF2-40B4-BE49-F238E27FC236}">
              <a16:creationId xmlns:a16="http://schemas.microsoft.com/office/drawing/2014/main" id="{4DD43867-FDCF-4DE3-8FDD-2458D092AD96}"/>
            </a:ext>
          </a:extLst>
        </xdr:cNvPr>
        <xdr:cNvSpPr txBox="1"/>
      </xdr:nvSpPr>
      <xdr:spPr>
        <a:xfrm>
          <a:off x="4288210" y="59580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93383</xdr:colOff>
      <xdr:row>11</xdr:row>
      <xdr:rowOff>140073</xdr:rowOff>
    </xdr:from>
    <xdr:to>
      <xdr:col>4</xdr:col>
      <xdr:colOff>434434</xdr:colOff>
      <xdr:row>21</xdr:row>
      <xdr:rowOff>85985</xdr:rowOff>
    </xdr:to>
    <xdr:sp macro="" textlink="">
      <xdr:nvSpPr>
        <xdr:cNvPr id="18" name="Rectangle 17">
          <a:extLst>
            <a:ext uri="{FF2B5EF4-FFF2-40B4-BE49-F238E27FC236}">
              <a16:creationId xmlns:a16="http://schemas.microsoft.com/office/drawing/2014/main" id="{25065C3D-FAFF-438F-A3E5-E8473ADBB5FF}"/>
            </a:ext>
          </a:extLst>
        </xdr:cNvPr>
        <xdr:cNvSpPr/>
      </xdr:nvSpPr>
      <xdr:spPr>
        <a:xfrm>
          <a:off x="93383" y="2194485"/>
          <a:ext cx="3796198" cy="181355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205441</xdr:colOff>
      <xdr:row>12</xdr:row>
      <xdr:rowOff>74705</xdr:rowOff>
    </xdr:from>
    <xdr:to>
      <xdr:col>4</xdr:col>
      <xdr:colOff>157789</xdr:colOff>
      <xdr:row>20</xdr:row>
      <xdr:rowOff>130735</xdr:rowOff>
    </xdr:to>
    <mc:AlternateContent xmlns:mc="http://schemas.openxmlformats.org/markup-compatibility/2006" xmlns:a14="http://schemas.microsoft.com/office/drawing/2010/main">
      <mc:Choice Requires="a14">
        <xdr:graphicFrame macro="">
          <xdr:nvGraphicFramePr>
            <xdr:cNvPr id="19" name="Country 1">
              <a:extLst>
                <a:ext uri="{FF2B5EF4-FFF2-40B4-BE49-F238E27FC236}">
                  <a16:creationId xmlns:a16="http://schemas.microsoft.com/office/drawing/2014/main" id="{0B5888C6-179C-427C-B095-2F5B26B0A7C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05441" y="2315881"/>
              <a:ext cx="3407495" cy="1550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336177</xdr:colOff>
      <xdr:row>3</xdr:row>
      <xdr:rowOff>9338</xdr:rowOff>
    </xdr:from>
    <xdr:to>
      <xdr:col>24</xdr:col>
      <xdr:colOff>46265</xdr:colOff>
      <xdr:row>27</xdr:row>
      <xdr:rowOff>38944</xdr:rowOff>
    </xdr:to>
    <xdr:grpSp>
      <xdr:nvGrpSpPr>
        <xdr:cNvPr id="20" name="Group 19">
          <a:extLst>
            <a:ext uri="{FF2B5EF4-FFF2-40B4-BE49-F238E27FC236}">
              <a16:creationId xmlns:a16="http://schemas.microsoft.com/office/drawing/2014/main" id="{4A3AF142-0C2E-42E5-BBFD-E9F710EE3AD9}"/>
            </a:ext>
          </a:extLst>
        </xdr:cNvPr>
        <xdr:cNvGrpSpPr/>
      </xdr:nvGrpSpPr>
      <xdr:grpSpPr>
        <a:xfrm>
          <a:off x="4398309" y="569632"/>
          <a:ext cx="11242809" cy="4511959"/>
          <a:chOff x="402166" y="1360717"/>
          <a:chExt cx="11014037" cy="3380290"/>
        </a:xfrm>
      </xdr:grpSpPr>
      <xdr:graphicFrame macro="">
        <xdr:nvGraphicFramePr>
          <xdr:cNvPr id="21" name="Chart 20">
            <a:extLst>
              <a:ext uri="{FF2B5EF4-FFF2-40B4-BE49-F238E27FC236}">
                <a16:creationId xmlns:a16="http://schemas.microsoft.com/office/drawing/2014/main" id="{2574F129-6D75-4017-8F93-67AF116D9420}"/>
              </a:ext>
            </a:extLst>
          </xdr:cNvPr>
          <xdr:cNvGraphicFramePr/>
        </xdr:nvGraphicFramePr>
        <xdr:xfrm>
          <a:off x="402166" y="1875317"/>
          <a:ext cx="4848656" cy="268875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2" name="Chart 21">
            <a:extLst>
              <a:ext uri="{FF2B5EF4-FFF2-40B4-BE49-F238E27FC236}">
                <a16:creationId xmlns:a16="http://schemas.microsoft.com/office/drawing/2014/main" id="{EE53F963-D6D8-4E7F-9C83-383659D4122A}"/>
              </a:ext>
            </a:extLst>
          </xdr:cNvPr>
          <xdr:cNvGraphicFramePr>
            <a:graphicFrameLocks/>
          </xdr:cNvGraphicFramePr>
        </xdr:nvGraphicFramePr>
        <xdr:xfrm>
          <a:off x="7078389" y="1875317"/>
          <a:ext cx="4337814" cy="268875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3" name="Chart 22">
            <a:extLst>
              <a:ext uri="{FF2B5EF4-FFF2-40B4-BE49-F238E27FC236}">
                <a16:creationId xmlns:a16="http://schemas.microsoft.com/office/drawing/2014/main" id="{24056368-17EC-43B0-850A-60746E5B88BE}"/>
              </a:ext>
            </a:extLst>
          </xdr:cNvPr>
          <xdr:cNvGraphicFramePr>
            <a:graphicFrameLocks/>
          </xdr:cNvGraphicFramePr>
        </xdr:nvGraphicFramePr>
        <xdr:xfrm>
          <a:off x="3995845" y="1875317"/>
          <a:ext cx="4337522" cy="2688754"/>
        </xdr:xfrm>
        <a:graphic>
          <a:graphicData uri="http://schemas.openxmlformats.org/drawingml/2006/chart">
            <c:chart xmlns:c="http://schemas.openxmlformats.org/drawingml/2006/chart" xmlns:r="http://schemas.openxmlformats.org/officeDocument/2006/relationships" r:id="rId3"/>
          </a:graphicData>
        </a:graphic>
      </xdr:graphicFrame>
      <xdr:sp macro="" textlink="B4">
        <xdr:nvSpPr>
          <xdr:cNvPr id="24" name="TextBox 23">
            <a:extLst>
              <a:ext uri="{FF2B5EF4-FFF2-40B4-BE49-F238E27FC236}">
                <a16:creationId xmlns:a16="http://schemas.microsoft.com/office/drawing/2014/main" id="{03B1CB0C-B993-46F6-B2DC-C93398438B20}"/>
              </a:ext>
            </a:extLst>
          </xdr:cNvPr>
          <xdr:cNvSpPr txBox="1"/>
        </xdr:nvSpPr>
        <xdr:spPr>
          <a:xfrm>
            <a:off x="2571359" y="2971173"/>
            <a:ext cx="807470" cy="30374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4FDE4FC-DB29-4589-AE66-E93025D22181}" type="TxLink">
              <a:rPr lang="en-US" sz="2000" b="1" i="0" u="none" strike="noStrike">
                <a:solidFill>
                  <a:srgbClr val="92D050"/>
                </a:solidFill>
                <a:latin typeface="Calibri"/>
                <a:cs typeface="Calibri"/>
              </a:rPr>
              <a:pPr/>
              <a:t>13%</a:t>
            </a:fld>
            <a:endParaRPr lang="en-US" sz="2000" b="1">
              <a:solidFill>
                <a:srgbClr val="92D050"/>
              </a:solidFill>
            </a:endParaRPr>
          </a:p>
        </xdr:txBody>
      </xdr:sp>
      <xdr:sp macro="" textlink="B5">
        <xdr:nvSpPr>
          <xdr:cNvPr id="25" name="TextBox 24">
            <a:extLst>
              <a:ext uri="{FF2B5EF4-FFF2-40B4-BE49-F238E27FC236}">
                <a16:creationId xmlns:a16="http://schemas.microsoft.com/office/drawing/2014/main" id="{4D615EE1-3E5A-49C4-A5BB-821065B64D9A}"/>
              </a:ext>
            </a:extLst>
          </xdr:cNvPr>
          <xdr:cNvSpPr txBox="1"/>
        </xdr:nvSpPr>
        <xdr:spPr>
          <a:xfrm>
            <a:off x="5887469" y="2994692"/>
            <a:ext cx="642839" cy="30374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5B8403F-0812-42D8-96B9-4B432A70C9E5}" type="TxLink">
              <a:rPr lang="en-US" sz="2000" b="1" i="0" u="none" strike="noStrike">
                <a:solidFill>
                  <a:srgbClr val="FF0000"/>
                </a:solidFill>
                <a:latin typeface="Calibri"/>
                <a:cs typeface="Calibri"/>
              </a:rPr>
              <a:pPr/>
              <a:t>77%</a:t>
            </a:fld>
            <a:endParaRPr lang="en-US" sz="2000" b="1">
              <a:solidFill>
                <a:srgbClr val="FF0000"/>
              </a:solidFill>
            </a:endParaRPr>
          </a:p>
        </xdr:txBody>
      </xdr:sp>
      <xdr:sp macro="" textlink="B6">
        <xdr:nvSpPr>
          <xdr:cNvPr id="26" name="TextBox 25">
            <a:extLst>
              <a:ext uri="{FF2B5EF4-FFF2-40B4-BE49-F238E27FC236}">
                <a16:creationId xmlns:a16="http://schemas.microsoft.com/office/drawing/2014/main" id="{6E0C34C9-F0C8-4396-91D3-AD1DA636EB61}"/>
              </a:ext>
            </a:extLst>
          </xdr:cNvPr>
          <xdr:cNvSpPr txBox="1"/>
        </xdr:nvSpPr>
        <xdr:spPr>
          <a:xfrm>
            <a:off x="8952717" y="2986852"/>
            <a:ext cx="830988" cy="4782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1EA35C7-9DFE-4DB9-B296-3C5297168FFB}" type="TxLink">
              <a:rPr lang="en-US" sz="2000" b="1" i="0" u="none" strike="noStrike">
                <a:solidFill>
                  <a:srgbClr val="FFC000"/>
                </a:solidFill>
                <a:latin typeface="Calibri"/>
                <a:cs typeface="Calibri"/>
              </a:rPr>
              <a:pPr/>
              <a:t>9%</a:t>
            </a:fld>
            <a:endParaRPr lang="en-US" sz="2000" b="1">
              <a:solidFill>
                <a:srgbClr val="FFC000"/>
              </a:solidFill>
            </a:endParaRPr>
          </a:p>
        </xdr:txBody>
      </xdr:sp>
      <xdr:sp macro="" textlink="$A$4">
        <xdr:nvSpPr>
          <xdr:cNvPr id="27" name="TextBox 26">
            <a:extLst>
              <a:ext uri="{FF2B5EF4-FFF2-40B4-BE49-F238E27FC236}">
                <a16:creationId xmlns:a16="http://schemas.microsoft.com/office/drawing/2014/main" id="{97EC7C6F-8897-4EF7-B3A5-CA9F3291C011}"/>
              </a:ext>
            </a:extLst>
          </xdr:cNvPr>
          <xdr:cNvSpPr txBox="1"/>
        </xdr:nvSpPr>
        <xdr:spPr>
          <a:xfrm>
            <a:off x="1803086" y="4468518"/>
            <a:ext cx="1356235" cy="2568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C4D606B-0DB5-40E6-B42E-3F2F3827E386}" type="TxLink">
              <a:rPr lang="en-US" sz="1600" b="1" i="0" u="none" strike="noStrike">
                <a:solidFill>
                  <a:srgbClr val="92D050"/>
                </a:solidFill>
                <a:latin typeface="Calibri"/>
                <a:cs typeface="Calibri"/>
              </a:rPr>
              <a:pPr/>
              <a:t>Furniture</a:t>
            </a:fld>
            <a:endParaRPr lang="en-IN" sz="1600" b="1">
              <a:solidFill>
                <a:srgbClr val="92D050"/>
              </a:solidFill>
            </a:endParaRPr>
          </a:p>
        </xdr:txBody>
      </xdr:sp>
      <xdr:sp macro="" textlink="$A$5">
        <xdr:nvSpPr>
          <xdr:cNvPr id="28" name="TextBox 27">
            <a:extLst>
              <a:ext uri="{FF2B5EF4-FFF2-40B4-BE49-F238E27FC236}">
                <a16:creationId xmlns:a16="http://schemas.microsoft.com/office/drawing/2014/main" id="{4A3CA485-941F-46FB-AFD0-BA71E55F9E86}"/>
              </a:ext>
            </a:extLst>
          </xdr:cNvPr>
          <xdr:cNvSpPr txBox="1"/>
        </xdr:nvSpPr>
        <xdr:spPr>
          <a:xfrm>
            <a:off x="5644444" y="4484197"/>
            <a:ext cx="1520862" cy="2568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35C364A-BA36-4A69-A97B-CA18AC22FD84}" type="TxLink">
              <a:rPr lang="en-US" sz="1600" b="1" i="0" u="none" strike="noStrike">
                <a:solidFill>
                  <a:srgbClr val="FF0000"/>
                </a:solidFill>
                <a:latin typeface="Calibri"/>
                <a:cs typeface="Calibri"/>
              </a:rPr>
              <a:pPr/>
              <a:t>Office Supplies</a:t>
            </a:fld>
            <a:endParaRPr lang="en-IN" sz="1600" b="1">
              <a:solidFill>
                <a:srgbClr val="FF0000"/>
              </a:solidFill>
            </a:endParaRPr>
          </a:p>
        </xdr:txBody>
      </xdr:sp>
      <xdr:sp macro="" textlink="$A$6">
        <xdr:nvSpPr>
          <xdr:cNvPr id="29" name="TextBox 28">
            <a:extLst>
              <a:ext uri="{FF2B5EF4-FFF2-40B4-BE49-F238E27FC236}">
                <a16:creationId xmlns:a16="http://schemas.microsoft.com/office/drawing/2014/main" id="{08441F62-B43E-4857-B8C2-53C8126C08C6}"/>
              </a:ext>
            </a:extLst>
          </xdr:cNvPr>
          <xdr:cNvSpPr txBox="1"/>
        </xdr:nvSpPr>
        <xdr:spPr>
          <a:xfrm>
            <a:off x="8937037" y="4460680"/>
            <a:ext cx="1356235" cy="2568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9A23E0D-8055-4BED-92B8-BAE621AFBF87}" type="TxLink">
              <a:rPr lang="en-US" sz="1600" b="1" i="0" u="none" strike="noStrike">
                <a:solidFill>
                  <a:srgbClr val="FFC000"/>
                </a:solidFill>
                <a:latin typeface="Calibri"/>
                <a:cs typeface="Calibri"/>
              </a:rPr>
              <a:pPr/>
              <a:t>Technology</a:t>
            </a:fld>
            <a:endParaRPr lang="en-IN" sz="1600" b="1">
              <a:solidFill>
                <a:srgbClr val="FFC000"/>
              </a:solidFill>
            </a:endParaRPr>
          </a:p>
        </xdr:txBody>
      </xdr:sp>
      <xdr:sp macro="" textlink="$C$1">
        <xdr:nvSpPr>
          <xdr:cNvPr id="30" name="TextBox 29">
            <a:extLst>
              <a:ext uri="{FF2B5EF4-FFF2-40B4-BE49-F238E27FC236}">
                <a16:creationId xmlns:a16="http://schemas.microsoft.com/office/drawing/2014/main" id="{88A34473-24B1-40F4-9BD2-E7C7BEED5772}"/>
              </a:ext>
            </a:extLst>
          </xdr:cNvPr>
          <xdr:cNvSpPr txBox="1"/>
        </xdr:nvSpPr>
        <xdr:spPr>
          <a:xfrm>
            <a:off x="4575346" y="1360717"/>
            <a:ext cx="3159321" cy="350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100AB47-A696-49D4-8F3E-D3B69C606713}" type="TxLink">
              <a:rPr lang="en-US" sz="2400" b="1" i="0" u="none" strike="noStrike">
                <a:solidFill>
                  <a:srgbClr val="002060"/>
                </a:solidFill>
                <a:latin typeface="Calibri"/>
                <a:cs typeface="Calibri"/>
              </a:rPr>
              <a:pPr algn="ctr"/>
              <a:t>sales of :- Canada</a:t>
            </a:fld>
            <a:endParaRPr lang="en-IN" sz="2400" b="1">
              <a:solidFill>
                <a:srgbClr val="002060"/>
              </a:solidFill>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0</xdr:rowOff>
    </xdr:from>
    <xdr:to>
      <xdr:col>16</xdr:col>
      <xdr:colOff>174173</xdr:colOff>
      <xdr:row>23</xdr:row>
      <xdr:rowOff>156028</xdr:rowOff>
    </xdr:to>
    <xdr:graphicFrame macro="">
      <xdr:nvGraphicFramePr>
        <xdr:cNvPr id="5" name="Chart 4">
          <a:extLst>
            <a:ext uri="{FF2B5EF4-FFF2-40B4-BE49-F238E27FC236}">
              <a16:creationId xmlns:a16="http://schemas.microsoft.com/office/drawing/2014/main" id="{038B26FE-7ADB-425C-9527-A82EF5B16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0.66464</cdr:x>
      <cdr:y>0.11443</cdr:y>
    </cdr:from>
    <cdr:to>
      <cdr:x>0.79587</cdr:x>
      <cdr:y>0.38308</cdr:y>
    </cdr:to>
    <cdr:sp macro="" textlink="">
      <cdr:nvSpPr>
        <cdr:cNvPr id="2" name="TextBox 1">
          <a:extLst xmlns:a="http://schemas.openxmlformats.org/drawingml/2006/main">
            <a:ext uri="{FF2B5EF4-FFF2-40B4-BE49-F238E27FC236}">
              <a16:creationId xmlns:a16="http://schemas.microsoft.com/office/drawing/2014/main" id="{0879278C-F79B-468D-88CA-BA0F2EEDD4BE}"/>
            </a:ext>
          </a:extLst>
        </cdr:cNvPr>
        <cdr:cNvSpPr txBox="1"/>
      </cdr:nvSpPr>
      <cdr:spPr>
        <a:xfrm xmlns:a="http://schemas.openxmlformats.org/drawingml/2006/main">
          <a:off x="4631268" y="38946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a:t>Partiqular</a:t>
          </a:r>
          <a:r>
            <a:rPr lang="en-IN" sz="1100" baseline="0"/>
            <a:t> country parsent of sales &amp; quantity</a:t>
          </a:r>
          <a:endParaRPr lang="en-IN" sz="1100"/>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647700</xdr:colOff>
      <xdr:row>2</xdr:row>
      <xdr:rowOff>38100</xdr:rowOff>
    </xdr:from>
    <xdr:to>
      <xdr:col>16</xdr:col>
      <xdr:colOff>300642</xdr:colOff>
      <xdr:row>23</xdr:row>
      <xdr:rowOff>109992</xdr:rowOff>
    </xdr:to>
    <xdr:graphicFrame macro="">
      <xdr:nvGraphicFramePr>
        <xdr:cNvPr id="7" name="Chart 6">
          <a:extLst>
            <a:ext uri="{FF2B5EF4-FFF2-40B4-BE49-F238E27FC236}">
              <a16:creationId xmlns:a16="http://schemas.microsoft.com/office/drawing/2014/main" id="{F1D3866C-A0B9-4976-94F5-63E8BAF8D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0.40091</cdr:x>
      <cdr:y>0.05097</cdr:y>
    </cdr:from>
    <cdr:to>
      <cdr:x>0.74066</cdr:x>
      <cdr:y>0.37621</cdr:y>
    </cdr:to>
    <cdr:sp macro="" textlink="">
      <cdr:nvSpPr>
        <cdr:cNvPr id="2" name="TextBox 1">
          <a:extLst xmlns:a="http://schemas.openxmlformats.org/drawingml/2006/main">
            <a:ext uri="{FF2B5EF4-FFF2-40B4-BE49-F238E27FC236}">
              <a16:creationId xmlns:a16="http://schemas.microsoft.com/office/drawing/2014/main" id="{B588D4A0-1B57-40EA-88AA-3A3CF42EED8F}"/>
            </a:ext>
          </a:extLst>
        </cdr:cNvPr>
        <cdr:cNvSpPr txBox="1"/>
      </cdr:nvSpPr>
      <cdr:spPr>
        <a:xfrm xmlns:a="http://schemas.openxmlformats.org/drawingml/2006/main">
          <a:off x="2997199" y="177800"/>
          <a:ext cx="2540001" cy="11345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New</a:t>
          </a:r>
          <a:r>
            <a:rPr lang="en-IN" sz="1200" b="1" baseline="0"/>
            <a:t> zealnad country show offical supplies total seles</a:t>
          </a:r>
          <a:r>
            <a:rPr lang="en-IN" sz="1100" baseline="0"/>
            <a:t> </a:t>
          </a:r>
          <a:endParaRPr lang="en-IN" sz="1100"/>
        </a:p>
      </cdr:txBody>
    </cdr:sp>
  </cdr:relSizeAnchor>
</c:userShapes>
</file>

<file path=xl/drawings/drawing10.xml><?xml version="1.0" encoding="utf-8"?>
<xdr:wsDr xmlns:xdr="http://schemas.openxmlformats.org/drawingml/2006/spreadsheetDrawing" xmlns:a="http://schemas.openxmlformats.org/drawingml/2006/main">
  <xdr:twoCellAnchor>
    <xdr:from>
      <xdr:col>3</xdr:col>
      <xdr:colOff>2159</xdr:colOff>
      <xdr:row>7</xdr:row>
      <xdr:rowOff>53975</xdr:rowOff>
    </xdr:from>
    <xdr:to>
      <xdr:col>13</xdr:col>
      <xdr:colOff>359791</xdr:colOff>
      <xdr:row>22</xdr:row>
      <xdr:rowOff>34925</xdr:rowOff>
    </xdr:to>
    <xdr:graphicFrame macro="">
      <xdr:nvGraphicFramePr>
        <xdr:cNvPr id="2" name="Chart 1">
          <a:extLst>
            <a:ext uri="{FF2B5EF4-FFF2-40B4-BE49-F238E27FC236}">
              <a16:creationId xmlns:a16="http://schemas.microsoft.com/office/drawing/2014/main" id="{5332DC8A-FD89-4230-BD97-649A91627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123824</xdr:colOff>
      <xdr:row>3</xdr:row>
      <xdr:rowOff>111124</xdr:rowOff>
    </xdr:from>
    <xdr:to>
      <xdr:col>12</xdr:col>
      <xdr:colOff>571499</xdr:colOff>
      <xdr:row>18</xdr:row>
      <xdr:rowOff>146049</xdr:rowOff>
    </xdr:to>
    <xdr:graphicFrame macro="">
      <xdr:nvGraphicFramePr>
        <xdr:cNvPr id="4" name="Chart 3">
          <a:extLst>
            <a:ext uri="{FF2B5EF4-FFF2-40B4-BE49-F238E27FC236}">
              <a16:creationId xmlns:a16="http://schemas.microsoft.com/office/drawing/2014/main" id="{62D8697A-9A14-4109-9613-B6D87E0E7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603250</xdr:colOff>
      <xdr:row>1</xdr:row>
      <xdr:rowOff>63500</xdr:rowOff>
    </xdr:from>
    <xdr:to>
      <xdr:col>11</xdr:col>
      <xdr:colOff>358120</xdr:colOff>
      <xdr:row>24</xdr:row>
      <xdr:rowOff>166365</xdr:rowOff>
    </xdr:to>
    <xdr:graphicFrame macro="">
      <xdr:nvGraphicFramePr>
        <xdr:cNvPr id="4" name="Chart 3">
          <a:extLst>
            <a:ext uri="{FF2B5EF4-FFF2-40B4-BE49-F238E27FC236}">
              <a16:creationId xmlns:a16="http://schemas.microsoft.com/office/drawing/2014/main" id="{F27CA251-8738-4913-978D-E7F3696FE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0.47379</cdr:x>
      <cdr:y>0.04948</cdr:y>
    </cdr:from>
    <cdr:to>
      <cdr:x>0.83098</cdr:x>
      <cdr:y>0.27329</cdr:y>
    </cdr:to>
    <cdr:sp macro="" textlink="">
      <cdr:nvSpPr>
        <cdr:cNvPr id="2" name="TextBox 1">
          <a:extLst xmlns:a="http://schemas.openxmlformats.org/drawingml/2006/main">
            <a:ext uri="{FF2B5EF4-FFF2-40B4-BE49-F238E27FC236}">
              <a16:creationId xmlns:a16="http://schemas.microsoft.com/office/drawing/2014/main" id="{1CC71E76-413E-4754-97DA-3CB67FDB3607}"/>
            </a:ext>
          </a:extLst>
        </cdr:cNvPr>
        <cdr:cNvSpPr txBox="1"/>
      </cdr:nvSpPr>
      <cdr:spPr>
        <a:xfrm xmlns:a="http://schemas.openxmlformats.org/drawingml/2006/main">
          <a:off x="2490509" y="219481"/>
          <a:ext cx="1877602" cy="9928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calculate</a:t>
          </a:r>
          <a:r>
            <a:rPr lang="en-IN" sz="1200" b="1" baseline="0"/>
            <a:t> total seles in all region with %</a:t>
          </a:r>
          <a:endParaRPr lang="en-IN" sz="1200" b="1"/>
        </a:p>
      </cdr:txBody>
    </cdr:sp>
  </cdr:relSizeAnchor>
</c:userShapes>
</file>

<file path=xl/drawings/drawing14.xml><?xml version="1.0" encoding="utf-8"?>
<xdr:wsDr xmlns:xdr="http://schemas.openxmlformats.org/drawingml/2006/spreadsheetDrawing" xmlns:a="http://schemas.openxmlformats.org/drawingml/2006/main">
  <xdr:twoCellAnchor>
    <xdr:from>
      <xdr:col>3</xdr:col>
      <xdr:colOff>107950</xdr:colOff>
      <xdr:row>5</xdr:row>
      <xdr:rowOff>38100</xdr:rowOff>
    </xdr:from>
    <xdr:to>
      <xdr:col>15</xdr:col>
      <xdr:colOff>164702</xdr:colOff>
      <xdr:row>30</xdr:row>
      <xdr:rowOff>84649</xdr:rowOff>
    </xdr:to>
    <xdr:graphicFrame macro="">
      <xdr:nvGraphicFramePr>
        <xdr:cNvPr id="6" name="Chart 5">
          <a:extLst>
            <a:ext uri="{FF2B5EF4-FFF2-40B4-BE49-F238E27FC236}">
              <a16:creationId xmlns:a16="http://schemas.microsoft.com/office/drawing/2014/main" id="{3F8577AB-2A54-45A4-9F42-B143D81C9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0.74547</cdr:x>
      <cdr:y>0.08511</cdr:y>
    </cdr:from>
    <cdr:to>
      <cdr:x>0.86202</cdr:x>
      <cdr:y>0.27915</cdr:y>
    </cdr:to>
    <cdr:sp macro="" textlink="">
      <cdr:nvSpPr>
        <cdr:cNvPr id="2" name="TextBox 1">
          <a:extLst xmlns:a="http://schemas.openxmlformats.org/drawingml/2006/main">
            <a:ext uri="{FF2B5EF4-FFF2-40B4-BE49-F238E27FC236}">
              <a16:creationId xmlns:a16="http://schemas.microsoft.com/office/drawing/2014/main" id="{6FE074DE-EAD2-491E-AC90-2794058EC255}"/>
            </a:ext>
          </a:extLst>
        </cdr:cNvPr>
        <cdr:cNvSpPr txBox="1"/>
      </cdr:nvSpPr>
      <cdr:spPr>
        <a:xfrm xmlns:a="http://schemas.openxmlformats.org/drawingml/2006/main">
          <a:off x="5848684" y="401052"/>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0.51864</cdr:x>
      <cdr:y>0.05142</cdr:y>
    </cdr:from>
    <cdr:to>
      <cdr:x>0.84924</cdr:x>
      <cdr:y>0.28624</cdr:y>
    </cdr:to>
    <cdr:sp macro="" textlink="">
      <cdr:nvSpPr>
        <cdr:cNvPr id="3" name="TextBox 2">
          <a:extLst xmlns:a="http://schemas.openxmlformats.org/drawingml/2006/main">
            <a:ext uri="{FF2B5EF4-FFF2-40B4-BE49-F238E27FC236}">
              <a16:creationId xmlns:a16="http://schemas.microsoft.com/office/drawing/2014/main" id="{ABCC862B-59B4-467A-BDEC-CED99DA02177}"/>
            </a:ext>
          </a:extLst>
        </cdr:cNvPr>
        <cdr:cNvSpPr txBox="1"/>
      </cdr:nvSpPr>
      <cdr:spPr>
        <a:xfrm xmlns:a="http://schemas.openxmlformats.org/drawingml/2006/main">
          <a:off x="4069013" y="242302"/>
          <a:ext cx="2593808" cy="110657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United Kingdom show the sales and profit in Region</a:t>
          </a:r>
        </a:p>
      </cdr:txBody>
    </cdr:sp>
  </cdr:relSizeAnchor>
</c:userShapes>
</file>

<file path=xl/drawings/drawing16.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143327</xdr:colOff>
      <xdr:row>21</xdr:row>
      <xdr:rowOff>116492</xdr:rowOff>
    </xdr:to>
    <xdr:graphicFrame macro="">
      <xdr:nvGraphicFramePr>
        <xdr:cNvPr id="4" name="Chart 3">
          <a:extLst>
            <a:ext uri="{FF2B5EF4-FFF2-40B4-BE49-F238E27FC236}">
              <a16:creationId xmlns:a16="http://schemas.microsoft.com/office/drawing/2014/main" id="{A6B44C6D-5030-43A2-8DD0-92277E078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0.50812</cdr:x>
      <cdr:y>0.0192</cdr:y>
    </cdr:from>
    <cdr:to>
      <cdr:x>0.8678</cdr:x>
      <cdr:y>0.3555</cdr:y>
    </cdr:to>
    <cdr:sp macro="" textlink="">
      <cdr:nvSpPr>
        <cdr:cNvPr id="2" name="TextBox 1">
          <a:extLst xmlns:a="http://schemas.openxmlformats.org/drawingml/2006/main">
            <a:ext uri="{FF2B5EF4-FFF2-40B4-BE49-F238E27FC236}">
              <a16:creationId xmlns:a16="http://schemas.microsoft.com/office/drawing/2014/main" id="{85B1F630-E3CC-482C-9104-15B680D89077}"/>
            </a:ext>
          </a:extLst>
        </cdr:cNvPr>
        <cdr:cNvSpPr txBox="1"/>
      </cdr:nvSpPr>
      <cdr:spPr>
        <a:xfrm xmlns:a="http://schemas.openxmlformats.org/drawingml/2006/main">
          <a:off x="2613804" y="70323"/>
          <a:ext cx="1850190" cy="1231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categaory</a:t>
          </a:r>
          <a:r>
            <a:rPr lang="en-IN" sz="1200" b="1" baseline="0"/>
            <a:t> show all country seles in %</a:t>
          </a:r>
          <a:endParaRPr lang="en-IN" sz="1200" b="1"/>
        </a:p>
      </cdr:txBody>
    </cdr:sp>
  </cdr:relSizeAnchor>
</c:userShapes>
</file>

<file path=xl/drawings/drawing18.xml><?xml version="1.0" encoding="utf-8"?>
<xdr:wsDr xmlns:xdr="http://schemas.openxmlformats.org/drawingml/2006/spreadsheetDrawing" xmlns:a="http://schemas.openxmlformats.org/drawingml/2006/main">
  <xdr:twoCellAnchor>
    <xdr:from>
      <xdr:col>0</xdr:col>
      <xdr:colOff>416719</xdr:colOff>
      <xdr:row>4</xdr:row>
      <xdr:rowOff>168671</xdr:rowOff>
    </xdr:from>
    <xdr:to>
      <xdr:col>6</xdr:col>
      <xdr:colOff>585391</xdr:colOff>
      <xdr:row>15</xdr:row>
      <xdr:rowOff>0</xdr:rowOff>
    </xdr:to>
    <xdr:sp macro="" textlink="">
      <xdr:nvSpPr>
        <xdr:cNvPr id="28" name="Rectangle 27">
          <a:extLst>
            <a:ext uri="{FF2B5EF4-FFF2-40B4-BE49-F238E27FC236}">
              <a16:creationId xmlns:a16="http://schemas.microsoft.com/office/drawing/2014/main" id="{FC63F427-AC2C-458B-A3FB-C57B15ADEBC4}"/>
            </a:ext>
          </a:extLst>
        </xdr:cNvPr>
        <xdr:cNvSpPr/>
      </xdr:nvSpPr>
      <xdr:spPr>
        <a:xfrm>
          <a:off x="416719" y="922734"/>
          <a:ext cx="3800078" cy="190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575468</xdr:colOff>
      <xdr:row>5</xdr:row>
      <xdr:rowOff>178595</xdr:rowOff>
    </xdr:from>
    <xdr:to>
      <xdr:col>6</xdr:col>
      <xdr:colOff>327422</xdr:colOff>
      <xdr:row>13</xdr:row>
      <xdr:rowOff>61314</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747C9B50-04A2-4864-8400-D96DBEB8AF7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5468" y="1097674"/>
              <a:ext cx="3361428" cy="1353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157824</xdr:colOff>
      <xdr:row>3</xdr:row>
      <xdr:rowOff>151475</xdr:rowOff>
    </xdr:from>
    <xdr:to>
      <xdr:col>39</xdr:col>
      <xdr:colOff>366184</xdr:colOff>
      <xdr:row>30</xdr:row>
      <xdr:rowOff>16405</xdr:rowOff>
    </xdr:to>
    <xdr:graphicFrame macro="">
      <xdr:nvGraphicFramePr>
        <xdr:cNvPr id="30" name="Chart 29">
          <a:extLst>
            <a:ext uri="{FF2B5EF4-FFF2-40B4-BE49-F238E27FC236}">
              <a16:creationId xmlns:a16="http://schemas.microsoft.com/office/drawing/2014/main" id="{97A126A0-517F-49D2-9B4F-B7B2A5B5D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406751</xdr:colOff>
      <xdr:row>34</xdr:row>
      <xdr:rowOff>17463</xdr:rowOff>
    </xdr:from>
    <xdr:to>
      <xdr:col>39</xdr:col>
      <xdr:colOff>194027</xdr:colOff>
      <xdr:row>54</xdr:row>
      <xdr:rowOff>151165</xdr:rowOff>
    </xdr:to>
    <xdr:graphicFrame macro="">
      <xdr:nvGraphicFramePr>
        <xdr:cNvPr id="32" name="Chart 31">
          <a:extLst>
            <a:ext uri="{FF2B5EF4-FFF2-40B4-BE49-F238E27FC236}">
              <a16:creationId xmlns:a16="http://schemas.microsoft.com/office/drawing/2014/main" id="{2C84BC34-1FBF-4887-95FA-F2EDEAB61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203199</xdr:colOff>
      <xdr:row>47</xdr:row>
      <xdr:rowOff>50801</xdr:rowOff>
    </xdr:from>
    <xdr:to>
      <xdr:col>13</xdr:col>
      <xdr:colOff>440267</xdr:colOff>
      <xdr:row>68</xdr:row>
      <xdr:rowOff>76200</xdr:rowOff>
    </xdr:to>
    <xdr:graphicFrame macro="">
      <xdr:nvGraphicFramePr>
        <xdr:cNvPr id="35" name="Chart 34">
          <a:extLst>
            <a:ext uri="{FF2B5EF4-FFF2-40B4-BE49-F238E27FC236}">
              <a16:creationId xmlns:a16="http://schemas.microsoft.com/office/drawing/2014/main" id="{7DF28125-00F1-4ED2-9825-9666C5719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321734</xdr:colOff>
      <xdr:row>20</xdr:row>
      <xdr:rowOff>169333</xdr:rowOff>
    </xdr:from>
    <xdr:to>
      <xdr:col>14</xdr:col>
      <xdr:colOff>405871</xdr:colOff>
      <xdr:row>42</xdr:row>
      <xdr:rowOff>116946</xdr:rowOff>
    </xdr:to>
    <xdr:graphicFrame macro="">
      <xdr:nvGraphicFramePr>
        <xdr:cNvPr id="37" name="Chart 36">
          <a:extLst>
            <a:ext uri="{FF2B5EF4-FFF2-40B4-BE49-F238E27FC236}">
              <a16:creationId xmlns:a16="http://schemas.microsoft.com/office/drawing/2014/main" id="{BA52328E-D584-4AD5-98B6-900120FC7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464609</xdr:colOff>
      <xdr:row>21</xdr:row>
      <xdr:rowOff>121179</xdr:rowOff>
    </xdr:from>
    <xdr:to>
      <xdr:col>25</xdr:col>
      <xdr:colOff>119591</xdr:colOff>
      <xdr:row>41</xdr:row>
      <xdr:rowOff>107950</xdr:rowOff>
    </xdr:to>
    <xdr:graphicFrame macro="">
      <xdr:nvGraphicFramePr>
        <xdr:cNvPr id="39" name="Chart 38">
          <a:extLst>
            <a:ext uri="{FF2B5EF4-FFF2-40B4-BE49-F238E27FC236}">
              <a16:creationId xmlns:a16="http://schemas.microsoft.com/office/drawing/2014/main" id="{5CBF6A0B-C39A-4BAE-BA18-151E704C6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591553</xdr:colOff>
      <xdr:row>61</xdr:row>
      <xdr:rowOff>176798</xdr:rowOff>
    </xdr:from>
    <xdr:to>
      <xdr:col>40</xdr:col>
      <xdr:colOff>508000</xdr:colOff>
      <xdr:row>87</xdr:row>
      <xdr:rowOff>109955</xdr:rowOff>
    </xdr:to>
    <xdr:graphicFrame macro="">
      <xdr:nvGraphicFramePr>
        <xdr:cNvPr id="40" name="Chart 39">
          <a:extLst>
            <a:ext uri="{FF2B5EF4-FFF2-40B4-BE49-F238E27FC236}">
              <a16:creationId xmlns:a16="http://schemas.microsoft.com/office/drawing/2014/main" id="{96DD7327-DA69-42F9-B1D1-25233C19D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114846</xdr:colOff>
      <xdr:row>48</xdr:row>
      <xdr:rowOff>98447</xdr:rowOff>
    </xdr:from>
    <xdr:to>
      <xdr:col>25</xdr:col>
      <xdr:colOff>522859</xdr:colOff>
      <xdr:row>72</xdr:row>
      <xdr:rowOff>82477</xdr:rowOff>
    </xdr:to>
    <xdr:graphicFrame macro="">
      <xdr:nvGraphicFramePr>
        <xdr:cNvPr id="42" name="Chart 41">
          <a:extLst>
            <a:ext uri="{FF2B5EF4-FFF2-40B4-BE49-F238E27FC236}">
              <a16:creationId xmlns:a16="http://schemas.microsoft.com/office/drawing/2014/main" id="{45346DA8-FB63-42FE-997B-CDE7C9CDA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301776</xdr:colOff>
      <xdr:row>73</xdr:row>
      <xdr:rowOff>136072</xdr:rowOff>
    </xdr:from>
    <xdr:to>
      <xdr:col>12</xdr:col>
      <xdr:colOff>587980</xdr:colOff>
      <xdr:row>95</xdr:row>
      <xdr:rowOff>0</xdr:rowOff>
    </xdr:to>
    <xdr:graphicFrame macro="">
      <xdr:nvGraphicFramePr>
        <xdr:cNvPr id="43" name="Chart 42">
          <a:extLst>
            <a:ext uri="{FF2B5EF4-FFF2-40B4-BE49-F238E27FC236}">
              <a16:creationId xmlns:a16="http://schemas.microsoft.com/office/drawing/2014/main" id="{497EE38A-FDB4-48E2-9EB0-DDE944663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457200</xdr:colOff>
      <xdr:row>77</xdr:row>
      <xdr:rowOff>116416</xdr:rowOff>
    </xdr:from>
    <xdr:to>
      <xdr:col>27</xdr:col>
      <xdr:colOff>211667</xdr:colOff>
      <xdr:row>98</xdr:row>
      <xdr:rowOff>63499</xdr:rowOff>
    </xdr:to>
    <xdr:graphicFrame macro="">
      <xdr:nvGraphicFramePr>
        <xdr:cNvPr id="44" name="Chart 43">
          <a:extLst>
            <a:ext uri="{FF2B5EF4-FFF2-40B4-BE49-F238E27FC236}">
              <a16:creationId xmlns:a16="http://schemas.microsoft.com/office/drawing/2014/main" id="{84339626-AE82-4F19-902D-51DB090F2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66842</xdr:colOff>
      <xdr:row>0</xdr:row>
      <xdr:rowOff>0</xdr:rowOff>
    </xdr:from>
    <xdr:to>
      <xdr:col>25</xdr:col>
      <xdr:colOff>481230</xdr:colOff>
      <xdr:row>21</xdr:row>
      <xdr:rowOff>167105</xdr:rowOff>
    </xdr:to>
    <xdr:grpSp>
      <xdr:nvGrpSpPr>
        <xdr:cNvPr id="24" name="Group 23">
          <a:extLst>
            <a:ext uri="{FF2B5EF4-FFF2-40B4-BE49-F238E27FC236}">
              <a16:creationId xmlns:a16="http://schemas.microsoft.com/office/drawing/2014/main" id="{D6AB60B4-1D01-4EF8-ACF2-B6C35FA58D83}"/>
            </a:ext>
          </a:extLst>
        </xdr:cNvPr>
        <xdr:cNvGrpSpPr/>
      </xdr:nvGrpSpPr>
      <xdr:grpSpPr>
        <a:xfrm>
          <a:off x="4277895" y="0"/>
          <a:ext cx="11242809" cy="4027237"/>
          <a:chOff x="402166" y="1360717"/>
          <a:chExt cx="11014037" cy="3380290"/>
        </a:xfrm>
      </xdr:grpSpPr>
      <xdr:graphicFrame macro="">
        <xdr:nvGraphicFramePr>
          <xdr:cNvPr id="26" name="Chart 25">
            <a:extLst>
              <a:ext uri="{FF2B5EF4-FFF2-40B4-BE49-F238E27FC236}">
                <a16:creationId xmlns:a16="http://schemas.microsoft.com/office/drawing/2014/main" id="{ED070003-C3CE-47AC-B05B-C5FB480D7339}"/>
              </a:ext>
            </a:extLst>
          </xdr:cNvPr>
          <xdr:cNvGraphicFramePr/>
        </xdr:nvGraphicFramePr>
        <xdr:xfrm>
          <a:off x="402166" y="1875317"/>
          <a:ext cx="4848656" cy="268875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7" name="Chart 26">
            <a:extLst>
              <a:ext uri="{FF2B5EF4-FFF2-40B4-BE49-F238E27FC236}">
                <a16:creationId xmlns:a16="http://schemas.microsoft.com/office/drawing/2014/main" id="{E604CADC-3EB5-406F-8AEA-96532654AA9B}"/>
              </a:ext>
            </a:extLst>
          </xdr:cNvPr>
          <xdr:cNvGraphicFramePr>
            <a:graphicFrameLocks/>
          </xdr:cNvGraphicFramePr>
        </xdr:nvGraphicFramePr>
        <xdr:xfrm>
          <a:off x="7078389" y="1875317"/>
          <a:ext cx="4337814" cy="2688754"/>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9" name="Chart 28">
            <a:extLst>
              <a:ext uri="{FF2B5EF4-FFF2-40B4-BE49-F238E27FC236}">
                <a16:creationId xmlns:a16="http://schemas.microsoft.com/office/drawing/2014/main" id="{386BE901-3A7D-4C22-BBF7-4155B5995038}"/>
              </a:ext>
            </a:extLst>
          </xdr:cNvPr>
          <xdr:cNvGraphicFramePr>
            <a:graphicFrameLocks/>
          </xdr:cNvGraphicFramePr>
        </xdr:nvGraphicFramePr>
        <xdr:xfrm>
          <a:off x="3995845" y="1875317"/>
          <a:ext cx="4337522" cy="2688754"/>
        </xdr:xfrm>
        <a:graphic>
          <a:graphicData uri="http://schemas.openxmlformats.org/drawingml/2006/chart">
            <c:chart xmlns:c="http://schemas.openxmlformats.org/drawingml/2006/chart" xmlns:r="http://schemas.openxmlformats.org/officeDocument/2006/relationships" r:id="rId12"/>
          </a:graphicData>
        </a:graphic>
      </xdr:graphicFrame>
      <xdr:sp macro="" textlink="B4">
        <xdr:nvSpPr>
          <xdr:cNvPr id="31" name="TextBox 30">
            <a:extLst>
              <a:ext uri="{FF2B5EF4-FFF2-40B4-BE49-F238E27FC236}">
                <a16:creationId xmlns:a16="http://schemas.microsoft.com/office/drawing/2014/main" id="{AB1CAAF7-99B8-492B-8BC1-280138410EB6}"/>
              </a:ext>
            </a:extLst>
          </xdr:cNvPr>
          <xdr:cNvSpPr txBox="1"/>
        </xdr:nvSpPr>
        <xdr:spPr>
          <a:xfrm>
            <a:off x="2571359" y="2971173"/>
            <a:ext cx="807470" cy="30374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4FDE4FC-DB29-4589-AE66-E93025D22181}" type="TxLink">
              <a:rPr lang="en-US" sz="2000" b="1" i="0" u="none" strike="noStrike">
                <a:solidFill>
                  <a:srgbClr val="92D050"/>
                </a:solidFill>
                <a:latin typeface="Calibri"/>
                <a:cs typeface="Calibri"/>
              </a:rPr>
              <a:pPr/>
              <a:t> </a:t>
            </a:fld>
            <a:endParaRPr lang="en-US" sz="2000" b="1">
              <a:solidFill>
                <a:srgbClr val="92D050"/>
              </a:solidFill>
            </a:endParaRPr>
          </a:p>
        </xdr:txBody>
      </xdr:sp>
      <xdr:sp macro="" textlink="B5">
        <xdr:nvSpPr>
          <xdr:cNvPr id="33" name="TextBox 32">
            <a:extLst>
              <a:ext uri="{FF2B5EF4-FFF2-40B4-BE49-F238E27FC236}">
                <a16:creationId xmlns:a16="http://schemas.microsoft.com/office/drawing/2014/main" id="{B75EEE53-BC72-41E3-A8E8-E8C1306C7BB8}"/>
              </a:ext>
            </a:extLst>
          </xdr:cNvPr>
          <xdr:cNvSpPr txBox="1"/>
        </xdr:nvSpPr>
        <xdr:spPr>
          <a:xfrm>
            <a:off x="5887469" y="2994692"/>
            <a:ext cx="642839" cy="30374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5B8403F-0812-42D8-96B9-4B432A70C9E5}" type="TxLink">
              <a:rPr lang="en-US" sz="2000" b="1" i="0" u="none" strike="noStrike">
                <a:solidFill>
                  <a:srgbClr val="FF0000"/>
                </a:solidFill>
                <a:latin typeface="Calibri"/>
                <a:cs typeface="Calibri"/>
              </a:rPr>
              <a:pPr/>
              <a:t> </a:t>
            </a:fld>
            <a:endParaRPr lang="en-US" sz="2000" b="1">
              <a:solidFill>
                <a:srgbClr val="FF0000"/>
              </a:solidFill>
            </a:endParaRPr>
          </a:p>
        </xdr:txBody>
      </xdr:sp>
      <xdr:sp macro="" textlink="B6">
        <xdr:nvSpPr>
          <xdr:cNvPr id="34" name="TextBox 33">
            <a:extLst>
              <a:ext uri="{FF2B5EF4-FFF2-40B4-BE49-F238E27FC236}">
                <a16:creationId xmlns:a16="http://schemas.microsoft.com/office/drawing/2014/main" id="{56708FC1-8291-43A8-B080-7B313EDE848D}"/>
              </a:ext>
            </a:extLst>
          </xdr:cNvPr>
          <xdr:cNvSpPr txBox="1"/>
        </xdr:nvSpPr>
        <xdr:spPr>
          <a:xfrm>
            <a:off x="8952717" y="2986852"/>
            <a:ext cx="830988" cy="4782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1EA35C7-9DFE-4DB9-B296-3C5297168FFB}" type="TxLink">
              <a:rPr lang="en-US" sz="2000" b="1" i="0" u="none" strike="noStrike">
                <a:solidFill>
                  <a:srgbClr val="FFC000"/>
                </a:solidFill>
                <a:latin typeface="Calibri"/>
                <a:cs typeface="Calibri"/>
              </a:rPr>
              <a:pPr/>
              <a:t> </a:t>
            </a:fld>
            <a:endParaRPr lang="en-US" sz="2000" b="1">
              <a:solidFill>
                <a:srgbClr val="FFC000"/>
              </a:solidFill>
            </a:endParaRPr>
          </a:p>
        </xdr:txBody>
      </xdr:sp>
      <xdr:sp macro="" textlink="$A$4">
        <xdr:nvSpPr>
          <xdr:cNvPr id="36" name="TextBox 35">
            <a:extLst>
              <a:ext uri="{FF2B5EF4-FFF2-40B4-BE49-F238E27FC236}">
                <a16:creationId xmlns:a16="http://schemas.microsoft.com/office/drawing/2014/main" id="{3DB8E7A3-0140-42E6-A29C-714062393DC6}"/>
              </a:ext>
            </a:extLst>
          </xdr:cNvPr>
          <xdr:cNvSpPr txBox="1"/>
        </xdr:nvSpPr>
        <xdr:spPr>
          <a:xfrm>
            <a:off x="1803086" y="4468518"/>
            <a:ext cx="1356235" cy="2568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C4D606B-0DB5-40E6-B42E-3F2F3827E386}" type="TxLink">
              <a:rPr lang="en-US" sz="1600" b="1" i="0" u="none" strike="noStrike">
                <a:solidFill>
                  <a:srgbClr val="92D050"/>
                </a:solidFill>
                <a:latin typeface="Calibri"/>
                <a:cs typeface="Calibri"/>
              </a:rPr>
              <a:pPr/>
              <a:t> </a:t>
            </a:fld>
            <a:endParaRPr lang="en-IN" sz="1600" b="1">
              <a:solidFill>
                <a:srgbClr val="92D050"/>
              </a:solidFill>
            </a:endParaRPr>
          </a:p>
        </xdr:txBody>
      </xdr:sp>
      <xdr:sp macro="" textlink="$A$5">
        <xdr:nvSpPr>
          <xdr:cNvPr id="38" name="TextBox 37">
            <a:extLst>
              <a:ext uri="{FF2B5EF4-FFF2-40B4-BE49-F238E27FC236}">
                <a16:creationId xmlns:a16="http://schemas.microsoft.com/office/drawing/2014/main" id="{0479AB41-7677-4010-8A31-3F86CF182881}"/>
              </a:ext>
            </a:extLst>
          </xdr:cNvPr>
          <xdr:cNvSpPr txBox="1"/>
        </xdr:nvSpPr>
        <xdr:spPr>
          <a:xfrm>
            <a:off x="5644444" y="4484197"/>
            <a:ext cx="1520862" cy="2568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35C364A-BA36-4A69-A97B-CA18AC22FD84}" type="TxLink">
              <a:rPr lang="en-US" sz="1600" b="1" i="0" u="none" strike="noStrike">
                <a:solidFill>
                  <a:srgbClr val="FF0000"/>
                </a:solidFill>
                <a:latin typeface="Calibri"/>
                <a:cs typeface="Calibri"/>
              </a:rPr>
              <a:pPr/>
              <a:t> </a:t>
            </a:fld>
            <a:endParaRPr lang="en-IN" sz="1600" b="1">
              <a:solidFill>
                <a:srgbClr val="FF0000"/>
              </a:solidFill>
            </a:endParaRPr>
          </a:p>
        </xdr:txBody>
      </xdr:sp>
      <xdr:sp macro="" textlink="$A$6">
        <xdr:nvSpPr>
          <xdr:cNvPr id="41" name="TextBox 40">
            <a:extLst>
              <a:ext uri="{FF2B5EF4-FFF2-40B4-BE49-F238E27FC236}">
                <a16:creationId xmlns:a16="http://schemas.microsoft.com/office/drawing/2014/main" id="{294359D4-1EF5-4E6E-9FBB-518135259761}"/>
              </a:ext>
            </a:extLst>
          </xdr:cNvPr>
          <xdr:cNvSpPr txBox="1"/>
        </xdr:nvSpPr>
        <xdr:spPr>
          <a:xfrm>
            <a:off x="8937037" y="4460680"/>
            <a:ext cx="1356235" cy="2568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9A23E0D-8055-4BED-92B8-BAE621AFBF87}" type="TxLink">
              <a:rPr lang="en-US" sz="1600" b="1" i="0" u="none" strike="noStrike">
                <a:solidFill>
                  <a:srgbClr val="FFC000"/>
                </a:solidFill>
                <a:latin typeface="Calibri"/>
                <a:cs typeface="Calibri"/>
              </a:rPr>
              <a:pPr/>
              <a:t> </a:t>
            </a:fld>
            <a:endParaRPr lang="en-IN" sz="1600" b="1">
              <a:solidFill>
                <a:srgbClr val="FFC000"/>
              </a:solidFill>
            </a:endParaRPr>
          </a:p>
        </xdr:txBody>
      </xdr:sp>
      <xdr:sp macro="" textlink="$C$1">
        <xdr:nvSpPr>
          <xdr:cNvPr id="45" name="TextBox 44">
            <a:extLst>
              <a:ext uri="{FF2B5EF4-FFF2-40B4-BE49-F238E27FC236}">
                <a16:creationId xmlns:a16="http://schemas.microsoft.com/office/drawing/2014/main" id="{B115DAF2-0365-4668-8F2A-2FEF4A0E9423}"/>
              </a:ext>
            </a:extLst>
          </xdr:cNvPr>
          <xdr:cNvSpPr txBox="1"/>
        </xdr:nvSpPr>
        <xdr:spPr>
          <a:xfrm>
            <a:off x="4575346" y="1360717"/>
            <a:ext cx="3159321" cy="350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100AB47-A696-49D4-8F3E-D3B69C606713}" type="TxLink">
              <a:rPr lang="en-US" sz="2400" b="1" i="0" u="none" strike="noStrike">
                <a:solidFill>
                  <a:srgbClr val="002060"/>
                </a:solidFill>
                <a:latin typeface="Calibri"/>
                <a:cs typeface="Calibri"/>
              </a:rPr>
              <a:pPr algn="ctr"/>
              <a:t> </a:t>
            </a:fld>
            <a:endParaRPr lang="en-IN" sz="2400" b="1">
              <a:solidFill>
                <a:srgbClr val="002060"/>
              </a:solidFill>
            </a:endParaRPr>
          </a:p>
        </xdr:txBody>
      </xdr:sp>
    </xdr:grpSp>
    <xdr:clientData/>
  </xdr:twoCellAnchor>
</xdr:wsDr>
</file>

<file path=xl/drawings/drawing19.xml><?xml version="1.0" encoding="utf-8"?>
<c:userShapes xmlns:c="http://schemas.openxmlformats.org/drawingml/2006/chart">
  <cdr:relSizeAnchor xmlns:cdr="http://schemas.openxmlformats.org/drawingml/2006/chartDrawing">
    <cdr:from>
      <cdr:x>0.16667</cdr:x>
      <cdr:y>0.00629</cdr:y>
    </cdr:from>
    <cdr:to>
      <cdr:x>0.4236</cdr:x>
      <cdr:y>0.2831</cdr:y>
    </cdr:to>
    <cdr:sp macro="" textlink="">
      <cdr:nvSpPr>
        <cdr:cNvPr id="2" name="TextBox 1">
          <a:extLst xmlns:a="http://schemas.openxmlformats.org/drawingml/2006/main">
            <a:ext uri="{FF2B5EF4-FFF2-40B4-BE49-F238E27FC236}">
              <a16:creationId xmlns:a16="http://schemas.microsoft.com/office/drawing/2014/main" id="{713C0578-3E52-488D-82C6-1B0C8C829A83}"/>
            </a:ext>
          </a:extLst>
        </cdr:cNvPr>
        <cdr:cNvSpPr txBox="1"/>
      </cdr:nvSpPr>
      <cdr:spPr>
        <a:xfrm xmlns:a="http://schemas.openxmlformats.org/drawingml/2006/main">
          <a:off x="992188" y="26195"/>
          <a:ext cx="1529556" cy="11525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0.4256</cdr:x>
      <cdr:y>0.02995</cdr:y>
    </cdr:from>
    <cdr:to>
      <cdr:x>0.56274</cdr:x>
      <cdr:y>0.26709</cdr:y>
    </cdr:to>
    <cdr:sp macro="" textlink="">
      <cdr:nvSpPr>
        <cdr:cNvPr id="3" name="TextBox 2">
          <a:extLst xmlns:a="http://schemas.openxmlformats.org/drawingml/2006/main">
            <a:ext uri="{FF2B5EF4-FFF2-40B4-BE49-F238E27FC236}">
              <a16:creationId xmlns:a16="http://schemas.microsoft.com/office/drawing/2014/main" id="{36E11F59-2B99-42DE-B840-12BA3B9FD6A2}"/>
            </a:ext>
          </a:extLst>
        </cdr:cNvPr>
        <cdr:cNvSpPr txBox="1"/>
      </cdr:nvSpPr>
      <cdr:spPr>
        <a:xfrm xmlns:a="http://schemas.openxmlformats.org/drawingml/2006/main">
          <a:off x="2837657" y="11549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b="1"/>
            <a:t>count of total categary in country</a:t>
          </a:r>
        </a:p>
      </cdr:txBody>
    </cdr:sp>
  </cdr:relSizeAnchor>
</c:userShapes>
</file>

<file path=xl/drawings/drawing20.xml><?xml version="1.0" encoding="utf-8"?>
<c:userShapes xmlns:c="http://schemas.openxmlformats.org/drawingml/2006/chart">
  <cdr:relSizeAnchor xmlns:cdr="http://schemas.openxmlformats.org/drawingml/2006/chartDrawing">
    <cdr:from>
      <cdr:x>0.56019</cdr:x>
      <cdr:y>0.07007</cdr:y>
    </cdr:from>
    <cdr:to>
      <cdr:x>0.64581</cdr:x>
      <cdr:y>0.18394</cdr:y>
    </cdr:to>
    <cdr:sp macro="" textlink="">
      <cdr:nvSpPr>
        <cdr:cNvPr id="2" name="TextBox 1">
          <a:extLst xmlns:a="http://schemas.openxmlformats.org/drawingml/2006/main">
            <a:ext uri="{FF2B5EF4-FFF2-40B4-BE49-F238E27FC236}">
              <a16:creationId xmlns:a16="http://schemas.microsoft.com/office/drawing/2014/main" id="{AB03DC82-5367-4BBC-B941-920AD65EACBD}"/>
            </a:ext>
          </a:extLst>
        </cdr:cNvPr>
        <cdr:cNvSpPr txBox="1"/>
      </cdr:nvSpPr>
      <cdr:spPr>
        <a:xfrm xmlns:a="http://schemas.openxmlformats.org/drawingml/2006/main">
          <a:off x="4320824" y="270934"/>
          <a:ext cx="660400" cy="44026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All</a:t>
          </a:r>
          <a:r>
            <a:rPr lang="en-IN" sz="1200" b="1" baseline="0"/>
            <a:t> country show values</a:t>
          </a:r>
          <a:endParaRPr lang="en-IN" sz="1200" b="1"/>
        </a:p>
      </cdr:txBody>
    </cdr:sp>
  </cdr:relSizeAnchor>
</c:userShapes>
</file>

<file path=xl/drawings/drawing21.xml><?xml version="1.0" encoding="utf-8"?>
<c:userShapes xmlns:c="http://schemas.openxmlformats.org/drawingml/2006/chart">
  <cdr:relSizeAnchor xmlns:cdr="http://schemas.openxmlformats.org/drawingml/2006/chartDrawing">
    <cdr:from>
      <cdr:x>0.66464</cdr:x>
      <cdr:y>0.11443</cdr:y>
    </cdr:from>
    <cdr:to>
      <cdr:x>0.79587</cdr:x>
      <cdr:y>0.38308</cdr:y>
    </cdr:to>
    <cdr:sp macro="" textlink="">
      <cdr:nvSpPr>
        <cdr:cNvPr id="2" name="TextBox 1">
          <a:extLst xmlns:a="http://schemas.openxmlformats.org/drawingml/2006/main">
            <a:ext uri="{FF2B5EF4-FFF2-40B4-BE49-F238E27FC236}">
              <a16:creationId xmlns:a16="http://schemas.microsoft.com/office/drawing/2014/main" id="{0879278C-F79B-468D-88CA-BA0F2EEDD4BE}"/>
            </a:ext>
          </a:extLst>
        </cdr:cNvPr>
        <cdr:cNvSpPr txBox="1"/>
      </cdr:nvSpPr>
      <cdr:spPr>
        <a:xfrm xmlns:a="http://schemas.openxmlformats.org/drawingml/2006/main">
          <a:off x="4631268" y="38946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a:t>Partiqular</a:t>
          </a:r>
          <a:r>
            <a:rPr lang="en-IN" sz="1100" baseline="0"/>
            <a:t> country parsent of sales &amp; quantity</a:t>
          </a:r>
          <a:endParaRPr lang="en-IN" sz="1100"/>
        </a:p>
      </cdr:txBody>
    </cdr:sp>
  </cdr:relSizeAnchor>
</c:userShapes>
</file>

<file path=xl/drawings/drawing22.xml><?xml version="1.0" encoding="utf-8"?>
<c:userShapes xmlns:c="http://schemas.openxmlformats.org/drawingml/2006/chart">
  <cdr:relSizeAnchor xmlns:cdr="http://schemas.openxmlformats.org/drawingml/2006/chartDrawing">
    <cdr:from>
      <cdr:x>0.40091</cdr:x>
      <cdr:y>0.05097</cdr:y>
    </cdr:from>
    <cdr:to>
      <cdr:x>0.74066</cdr:x>
      <cdr:y>0.37621</cdr:y>
    </cdr:to>
    <cdr:sp macro="" textlink="">
      <cdr:nvSpPr>
        <cdr:cNvPr id="2" name="TextBox 1">
          <a:extLst xmlns:a="http://schemas.openxmlformats.org/drawingml/2006/main">
            <a:ext uri="{FF2B5EF4-FFF2-40B4-BE49-F238E27FC236}">
              <a16:creationId xmlns:a16="http://schemas.microsoft.com/office/drawing/2014/main" id="{B588D4A0-1B57-40EA-88AA-3A3CF42EED8F}"/>
            </a:ext>
          </a:extLst>
        </cdr:cNvPr>
        <cdr:cNvSpPr txBox="1"/>
      </cdr:nvSpPr>
      <cdr:spPr>
        <a:xfrm xmlns:a="http://schemas.openxmlformats.org/drawingml/2006/main">
          <a:off x="2997199" y="177800"/>
          <a:ext cx="2540001" cy="11345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New</a:t>
          </a:r>
          <a:r>
            <a:rPr lang="en-IN" sz="1200" b="1" baseline="0"/>
            <a:t> zealnad country show offical supplies total seles</a:t>
          </a:r>
          <a:r>
            <a:rPr lang="en-IN" sz="1100" baseline="0"/>
            <a:t> </a:t>
          </a:r>
          <a:endParaRPr lang="en-IN" sz="1100"/>
        </a:p>
      </cdr:txBody>
    </cdr:sp>
  </cdr:relSizeAnchor>
</c:userShapes>
</file>

<file path=xl/drawings/drawing23.xml><?xml version="1.0" encoding="utf-8"?>
<c:userShapes xmlns:c="http://schemas.openxmlformats.org/drawingml/2006/chart">
  <cdr:relSizeAnchor xmlns:cdr="http://schemas.openxmlformats.org/drawingml/2006/chartDrawing">
    <cdr:from>
      <cdr:x>0.50812</cdr:x>
      <cdr:y>0.0192</cdr:y>
    </cdr:from>
    <cdr:to>
      <cdr:x>0.8678</cdr:x>
      <cdr:y>0.3555</cdr:y>
    </cdr:to>
    <cdr:sp macro="" textlink="">
      <cdr:nvSpPr>
        <cdr:cNvPr id="2" name="TextBox 1">
          <a:extLst xmlns:a="http://schemas.openxmlformats.org/drawingml/2006/main">
            <a:ext uri="{FF2B5EF4-FFF2-40B4-BE49-F238E27FC236}">
              <a16:creationId xmlns:a16="http://schemas.microsoft.com/office/drawing/2014/main" id="{85B1F630-E3CC-482C-9104-15B680D89077}"/>
            </a:ext>
          </a:extLst>
        </cdr:cNvPr>
        <cdr:cNvSpPr txBox="1"/>
      </cdr:nvSpPr>
      <cdr:spPr>
        <a:xfrm xmlns:a="http://schemas.openxmlformats.org/drawingml/2006/main">
          <a:off x="2613804" y="70323"/>
          <a:ext cx="1850190" cy="1231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categaory</a:t>
          </a:r>
          <a:r>
            <a:rPr lang="en-IN" sz="1200" b="1" baseline="0"/>
            <a:t> show all country seles in %</a:t>
          </a:r>
          <a:endParaRPr lang="en-IN" sz="1200" b="1"/>
        </a:p>
      </cdr:txBody>
    </cdr:sp>
  </cdr:relSizeAnchor>
</c:userShapes>
</file>

<file path=xl/drawings/drawing24.xml><?xml version="1.0" encoding="utf-8"?>
<c:userShapes xmlns:c="http://schemas.openxmlformats.org/drawingml/2006/chart">
  <cdr:relSizeAnchor xmlns:cdr="http://schemas.openxmlformats.org/drawingml/2006/chartDrawing">
    <cdr:from>
      <cdr:x>0.74547</cdr:x>
      <cdr:y>0.08511</cdr:y>
    </cdr:from>
    <cdr:to>
      <cdr:x>0.86202</cdr:x>
      <cdr:y>0.27915</cdr:y>
    </cdr:to>
    <cdr:sp macro="" textlink="">
      <cdr:nvSpPr>
        <cdr:cNvPr id="2" name="TextBox 1">
          <a:extLst xmlns:a="http://schemas.openxmlformats.org/drawingml/2006/main">
            <a:ext uri="{FF2B5EF4-FFF2-40B4-BE49-F238E27FC236}">
              <a16:creationId xmlns:a16="http://schemas.microsoft.com/office/drawing/2014/main" id="{6FE074DE-EAD2-491E-AC90-2794058EC255}"/>
            </a:ext>
          </a:extLst>
        </cdr:cNvPr>
        <cdr:cNvSpPr txBox="1"/>
      </cdr:nvSpPr>
      <cdr:spPr>
        <a:xfrm xmlns:a="http://schemas.openxmlformats.org/drawingml/2006/main">
          <a:off x="5848684" y="401052"/>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0.51864</cdr:x>
      <cdr:y>0.05142</cdr:y>
    </cdr:from>
    <cdr:to>
      <cdr:x>0.84924</cdr:x>
      <cdr:y>0.28624</cdr:y>
    </cdr:to>
    <cdr:sp macro="" textlink="">
      <cdr:nvSpPr>
        <cdr:cNvPr id="3" name="TextBox 2">
          <a:extLst xmlns:a="http://schemas.openxmlformats.org/drawingml/2006/main">
            <a:ext uri="{FF2B5EF4-FFF2-40B4-BE49-F238E27FC236}">
              <a16:creationId xmlns:a16="http://schemas.microsoft.com/office/drawing/2014/main" id="{ABCC862B-59B4-467A-BDEC-CED99DA02177}"/>
            </a:ext>
          </a:extLst>
        </cdr:cNvPr>
        <cdr:cNvSpPr txBox="1"/>
      </cdr:nvSpPr>
      <cdr:spPr>
        <a:xfrm xmlns:a="http://schemas.openxmlformats.org/drawingml/2006/main">
          <a:off x="4069013" y="242302"/>
          <a:ext cx="2593808" cy="110657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United Kingdom show the sales and profit in Region</a:t>
          </a:r>
        </a:p>
      </cdr:txBody>
    </cdr:sp>
  </cdr:relSizeAnchor>
</c:userShapes>
</file>

<file path=xl/drawings/drawing25.xml><?xml version="1.0" encoding="utf-8"?>
<c:userShapes xmlns:c="http://schemas.openxmlformats.org/drawingml/2006/chart">
  <cdr:relSizeAnchor xmlns:cdr="http://schemas.openxmlformats.org/drawingml/2006/chartDrawing">
    <cdr:from>
      <cdr:x>0.47379</cdr:x>
      <cdr:y>0.04948</cdr:y>
    </cdr:from>
    <cdr:to>
      <cdr:x>0.83098</cdr:x>
      <cdr:y>0.27329</cdr:y>
    </cdr:to>
    <cdr:sp macro="" textlink="">
      <cdr:nvSpPr>
        <cdr:cNvPr id="2" name="TextBox 1">
          <a:extLst xmlns:a="http://schemas.openxmlformats.org/drawingml/2006/main">
            <a:ext uri="{FF2B5EF4-FFF2-40B4-BE49-F238E27FC236}">
              <a16:creationId xmlns:a16="http://schemas.microsoft.com/office/drawing/2014/main" id="{1CC71E76-413E-4754-97DA-3CB67FDB3607}"/>
            </a:ext>
          </a:extLst>
        </cdr:cNvPr>
        <cdr:cNvSpPr txBox="1"/>
      </cdr:nvSpPr>
      <cdr:spPr>
        <a:xfrm xmlns:a="http://schemas.openxmlformats.org/drawingml/2006/main">
          <a:off x="2490509" y="219481"/>
          <a:ext cx="1877602" cy="9928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calculate</a:t>
          </a:r>
          <a:r>
            <a:rPr lang="en-IN" sz="1200" b="1" baseline="0"/>
            <a:t> total seles in all region with %</a:t>
          </a:r>
          <a:endParaRPr lang="en-IN" sz="12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008TU ( 866J )" refreshedDate="44613.492426620367" createdVersion="7" refreshedVersion="7" minRefreshableVersion="3" recordCount="400" xr:uid="{8AC81866-DDFE-4304-80D6-3C3DC16A4C37}">
  <cacheSource type="worksheet">
    <worksheetSource ref="A1:L401" sheet="data"/>
  </cacheSource>
  <cacheFields count="12">
    <cacheField name="Employe  ID" numFmtId="0">
      <sharedItems containsSemiMixedTypes="0" containsString="0" containsNumber="1" containsInteger="1" minValue="1" maxValue="400"/>
    </cacheField>
    <cacheField name="Customer Name" numFmtId="0">
      <sharedItems count="400">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Adrian Barton"/>
        <s v="Michelle Arnett"/>
        <s v="Erica Bern"/>
        <s v="Neola Schneider"/>
        <s v="Jason Klamczynski"/>
        <s v="Patrick Ryan"/>
        <s v="Aaron Smayling"/>
        <s v="Dan Campbell"/>
        <s v="Michael Dominguez"/>
        <s v="Rick Huthwaite"/>
        <s v="Thomas Boland"/>
        <s v="Eric Barreto"/>
        <s v="Bryan Mills"/>
        <s v="Bradley Talbott"/>
        <s v="Fred Wasserman"/>
        <s v="Rick Duston"/>
        <s v="Theone Pippenger"/>
        <s v="Quincy Jones"/>
        <s v="Khloe Miller"/>
        <s v="Ionia McGrath"/>
        <s v="Marina Lichtenstein"/>
        <s v="Gary Hansen"/>
        <s v="Maureen Gnade"/>
        <s v="Sanjit Jacobs"/>
        <s v="Laurel Beltran"/>
        <s v="Sarah Brown"/>
        <s v="Corey Catlett"/>
        <s v="Sean Miller"/>
        <s v="Greg Matthias"/>
        <s v="Nick Radford"/>
        <s v="Edward Hooks"/>
        <s v="Brian Thompson"/>
        <s v="Scot Coram"/>
        <s v="Roy Skaria"/>
        <s v="Arianne Irving"/>
        <s v="Denny Joy"/>
        <s v="Barbara Fisher"/>
        <s v="Tiffany House"/>
        <s v="Jason Gross"/>
        <s v="Arthur Wiediger"/>
        <s v="Joni Wasserman"/>
        <s v="Michelle Huthwaite"/>
        <s v="George Zrebassa"/>
        <s v="Tracy Collins"/>
        <s v="Resi Pölking"/>
        <s v="Lena Radford"/>
        <s v="Magdelene Morse"/>
        <s v="Nona Balk"/>
        <s v="Darrin Sayre"/>
        <s v="Vicky Freymann"/>
        <s v="Scott Williamson"/>
        <s v="Pauline Webber"/>
        <s v="Ken Dana"/>
        <s v="Doug O'Connell"/>
        <s v="Guy Armstrong"/>
        <s v="Stephanie Ulpright"/>
        <s v="Fred McMath"/>
        <s v="Maribeth Yedwab"/>
        <s v="Carlos Soltero"/>
        <s v="Harry Marie"/>
        <s v="Fred Chung"/>
        <s v="Cathy Prescott"/>
        <s v="Sean Christensen"/>
        <s v="Heather Jas"/>
        <s v="Evan Henry"/>
        <s v="Luke Weiss"/>
        <s v="John Huston"/>
        <s v="Deborah Brumfield"/>
        <s v="Trudy Brown"/>
        <s v="Thomas Thornton"/>
        <s v="Roland Schwarz"/>
        <s v="Marc Harrigan"/>
        <s v="Christina Anderson"/>
        <s v="Don Weiss"/>
        <s v="Justin Hirsh"/>
        <s v="Anthony Rawles"/>
        <s v="Sally Matthias"/>
        <s v="Duane Benoit"/>
        <s v="Phillip Flathmann"/>
        <s v="Ashley Jarboe"/>
        <s v="Eugene Barchas"/>
        <s v="Shahid Shariari"/>
        <s v="Craig Yedwab"/>
        <s v="Rachel Payne"/>
        <s v="Dennis Bolton"/>
        <s v="Christine Kargatis"/>
        <s v="Dave Poirier"/>
        <s v="Jennifer Ferguson"/>
        <s v="Katherine Nockton"/>
        <s v="Victoria Pisteka"/>
        <s v="Gene McClure"/>
        <s v="Sarah Foster"/>
        <s v="Raymond Messe"/>
        <s v="Katherine Murray"/>
        <s v="Frank Hawley"/>
        <s v="Deirdre Greer"/>
        <s v="Mitch Webber"/>
        <s v="Sung Chung"/>
        <s v="Bradley Drucker"/>
        <s v="Liz Pelletier"/>
        <s v="Nora Preis"/>
        <s v="William Brown"/>
        <s v="Matt Hagelstein"/>
        <s v="John Castell"/>
        <s v="Ross DeVincentis"/>
        <s v="Steve Chapman"/>
        <s v="Nick Crebassa"/>
        <s v="Angele Hood"/>
        <s v="Jack O'Briant"/>
        <s v="Paul Prost"/>
        <s v="Carlos Daly"/>
        <s v="Barry Pond"/>
        <s v="Barry Weirich"/>
        <s v="Ricardo Emerson"/>
        <s v="Hallie Redmond"/>
        <s v="Tracy Poddar"/>
        <s v="Anna Chung"/>
        <s v="Chuck Clark"/>
        <s v="Toby Swindell"/>
        <s v="Meg O'Connel"/>
        <s v="Roy Phan"/>
        <s v="James Lanier"/>
        <s v="Bart Watters"/>
        <s v="Frank Gastineau"/>
        <s v="Eugene Hildebrand"/>
        <s v="Joy Smith"/>
        <s v="Christina DeMoss"/>
        <s v="Harry Greene"/>
        <s v="Becky Castell"/>
        <s v="Alejandro Ballentine"/>
        <s v="Muhammed Yedwab"/>
        <s v="Maureen Fritzler"/>
        <s v="Christopher Martinez"/>
        <s v="Erin Creighton"/>
        <s v="Bill Overfelt"/>
        <s v="Vivian Mathis"/>
        <s v="Chris McAfee"/>
        <s v="Kelly Williams"/>
        <s v="Michael Moore"/>
        <s v="Liz MacKendrick"/>
        <s v="Cari Sayre"/>
        <s v="Kean Thornton"/>
        <s v="Bobby Elias"/>
        <s v="Neil Französisch"/>
        <s v="Maurice Satty"/>
        <s v="Michelle Moray"/>
        <s v="Speros Goranitis"/>
        <s v="Patrick Bzostek"/>
        <s v="Ann Chong"/>
        <s v="Mathew Reese"/>
        <s v="Benjamin Farhat"/>
        <s v="Ben Wallace"/>
        <s v="Allen Armold"/>
        <s v="Noah Childs"/>
        <s v="Nicole Fjeld"/>
        <s v="Sam Craven"/>
        <s v="Brendan Dodson"/>
        <s v="Suzanne McNair"/>
        <s v="Evan Bailliet"/>
        <s v="Susan MacKendrick"/>
        <s v="Catherine Glotzbach"/>
        <s v="Trudy Glocke"/>
        <s v="Damala Kotsonis"/>
        <s v="Pamela Stobb"/>
        <s v="Stuart Van"/>
        <s v="Brendan Murry"/>
        <s v="Annie Zypern"/>
        <s v="Harold Dahlen"/>
        <s v="Barry Franz"/>
        <s v="Henia Zydlo"/>
        <s v="Keith Dawkins"/>
        <s v="Frank Carlisle"/>
        <s v="Denise Monton"/>
        <s v="Emily Grady"/>
        <s v="Henry Goldwyn"/>
        <s v="Bart Folk"/>
        <s v="Bill Donatelli"/>
        <s v="Bill Stewart"/>
        <s v="Dianna Arnett"/>
        <s v="Max Engle"/>
        <s v="Bobby Trafton"/>
        <s v="Neoma Murray"/>
        <s v="Mark Hamilton"/>
        <s v="Toby Carlisle"/>
        <s v="Emily Phan"/>
        <s v="Craig Molinari"/>
        <s v="Frank Olsen"/>
        <s v="Maribeth Schnelling"/>
        <s v="Adam Shillingsburg"/>
        <s v="Cindy Stewart"/>
        <s v="Maria Etezadi"/>
        <s v="Maxwell Schwartz"/>
        <s v="Art Ferguson"/>
        <s v="Amy Hunt"/>
        <s v="Matthew Clasen"/>
        <s v="Cindy Schnelling"/>
        <s v="Aaron Hawkins"/>
        <s v="Kelly Andreada"/>
        <s v="Sample Company A"/>
        <s v="Tom Ashbrook"/>
        <s v="Brad Thomas"/>
      </sharedItems>
    </cacheField>
    <cacheField name="Country" numFmtId="0">
      <sharedItems count="8">
        <s v="United States"/>
        <s v="United Kingdom"/>
        <s v="Canada"/>
        <s v="Germany"/>
        <s v="Austrailia"/>
        <s v="New Zealand"/>
        <s v="France"/>
        <s v="India"/>
      </sharedItems>
    </cacheField>
    <cacheField name="City" numFmtId="0">
      <sharedItems count="100">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haredItems>
    </cacheField>
    <cacheField name="State" numFmtId="0">
      <sharedItems count="35">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2.3079999999999994" maxValue="7999.9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2.1119999999999997" maxValue="4404.8999999999996"/>
    </cacheField>
  </cacheFields>
  <extLst>
    <ext xmlns:x14="http://schemas.microsoft.com/office/spreadsheetml/2009/9/main" uri="{725AE2AE-9491-48be-B2B4-4EB974FC3084}">
      <x14:pivotCacheDefinition pivotCacheId="96130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n v="1"/>
    <x v="0"/>
    <x v="0"/>
    <x v="0"/>
    <x v="0"/>
    <x v="0"/>
    <x v="0"/>
    <x v="0"/>
    <n v="56.91"/>
    <n v="3"/>
    <n v="0"/>
    <n v="60.84"/>
  </r>
  <r>
    <n v="2"/>
    <x v="1"/>
    <x v="1"/>
    <x v="0"/>
    <x v="0"/>
    <x v="0"/>
    <x v="0"/>
    <x v="1"/>
    <n v="77.599999999999994"/>
    <n v="1"/>
    <n v="0.2"/>
    <n v="35.207999999999998"/>
  </r>
  <r>
    <n v="3"/>
    <x v="2"/>
    <x v="0"/>
    <x v="1"/>
    <x v="1"/>
    <x v="1"/>
    <x v="1"/>
    <x v="2"/>
    <n v="14.28"/>
    <n v="8"/>
    <n v="0.2"/>
    <n v="41.472000000000008"/>
  </r>
  <r>
    <n v="4"/>
    <x v="3"/>
    <x v="2"/>
    <x v="2"/>
    <x v="2"/>
    <x v="0"/>
    <x v="0"/>
    <x v="3"/>
    <n v="219.07500000000002"/>
    <n v="5"/>
    <n v="0"/>
    <n v="239.5"/>
  </r>
  <r>
    <n v="5"/>
    <x v="4"/>
    <x v="3"/>
    <x v="2"/>
    <x v="2"/>
    <x v="0"/>
    <x v="1"/>
    <x v="4"/>
    <n v="26.8"/>
    <n v="5"/>
    <n v="0"/>
    <n v="34.200000000000003"/>
  </r>
  <r>
    <n v="6"/>
    <x v="5"/>
    <x v="0"/>
    <x v="1"/>
    <x v="1"/>
    <x v="1"/>
    <x v="0"/>
    <x v="5"/>
    <n v="9.84"/>
    <n v="3"/>
    <n v="0.4"/>
    <n v="376.86599999999999"/>
  </r>
  <r>
    <n v="7"/>
    <x v="6"/>
    <x v="4"/>
    <x v="1"/>
    <x v="1"/>
    <x v="1"/>
    <x v="1"/>
    <x v="6"/>
    <n v="45.480000000000004"/>
    <n v="4"/>
    <n v="0"/>
    <n v="197.72"/>
  </r>
  <r>
    <n v="8"/>
    <x v="7"/>
    <x v="5"/>
    <x v="1"/>
    <x v="1"/>
    <x v="1"/>
    <x v="2"/>
    <x v="7"/>
    <n v="289.20000000000005"/>
    <n v="4"/>
    <n v="0.2"/>
    <n v="70.720000000000013"/>
  </r>
  <r>
    <n v="9"/>
    <x v="8"/>
    <x v="6"/>
    <x v="1"/>
    <x v="1"/>
    <x v="1"/>
    <x v="1"/>
    <x v="8"/>
    <n v="4.8899999999999997"/>
    <n v="3"/>
    <n v="0.2"/>
    <n v="194.35200000000003"/>
  </r>
  <r>
    <n v="10"/>
    <x v="9"/>
    <x v="2"/>
    <x v="1"/>
    <x v="1"/>
    <x v="1"/>
    <x v="1"/>
    <x v="9"/>
    <n v="15.136000000000003"/>
    <n v="6"/>
    <n v="0"/>
    <n v="21.6"/>
  </r>
  <r>
    <n v="11"/>
    <x v="10"/>
    <x v="0"/>
    <x v="1"/>
    <x v="1"/>
    <x v="1"/>
    <x v="0"/>
    <x v="3"/>
    <n v="466.76800000000003"/>
    <n v="3"/>
    <n v="0"/>
    <n v="11.07"/>
  </r>
  <r>
    <n v="12"/>
    <x v="11"/>
    <x v="7"/>
    <x v="1"/>
    <x v="1"/>
    <x v="1"/>
    <x v="2"/>
    <x v="7"/>
    <n v="15.231999999999999"/>
    <n v="4"/>
    <n v="0"/>
    <n v="282.83999999999997"/>
  </r>
  <r>
    <n v="13"/>
    <x v="12"/>
    <x v="2"/>
    <x v="3"/>
    <x v="3"/>
    <x v="0"/>
    <x v="1"/>
    <x v="10"/>
    <n v="6.2640000000000002"/>
    <n v="9"/>
    <n v="0"/>
    <n v="27.72"/>
  </r>
  <r>
    <n v="14"/>
    <x v="13"/>
    <x v="1"/>
    <x v="4"/>
    <x v="4"/>
    <x v="1"/>
    <x v="1"/>
    <x v="8"/>
    <n v="87.539999999999992"/>
    <n v="4"/>
    <n v="0"/>
    <n v="11.68"/>
  </r>
  <r>
    <n v="15"/>
    <x v="14"/>
    <x v="0"/>
    <x v="5"/>
    <x v="5"/>
    <x v="2"/>
    <x v="1"/>
    <x v="9"/>
    <n v="178.38400000000001"/>
    <n v="2"/>
    <n v="0.2"/>
    <n v="239.98400000000004"/>
  </r>
  <r>
    <n v="16"/>
    <x v="15"/>
    <x v="0"/>
    <x v="5"/>
    <x v="5"/>
    <x v="2"/>
    <x v="1"/>
    <x v="8"/>
    <n v="15.552000000000003"/>
    <n v="1"/>
    <n v="0"/>
    <n v="22.98"/>
  </r>
  <r>
    <n v="17"/>
    <x v="16"/>
    <x v="1"/>
    <x v="6"/>
    <x v="6"/>
    <x v="2"/>
    <x v="1"/>
    <x v="4"/>
    <n v="99.13600000000001"/>
    <n v="7"/>
    <n v="0"/>
    <n v="102.13"/>
  </r>
  <r>
    <n v="18"/>
    <x v="17"/>
    <x v="0"/>
    <x v="7"/>
    <x v="7"/>
    <x v="1"/>
    <x v="1"/>
    <x v="4"/>
    <n v="135.88200000000001"/>
    <n v="2"/>
    <n v="0.2"/>
    <n v="2033.5840000000001"/>
  </r>
  <r>
    <n v="19"/>
    <x v="18"/>
    <x v="2"/>
    <x v="8"/>
    <x v="1"/>
    <x v="1"/>
    <x v="1"/>
    <x v="6"/>
    <n v="3991.98"/>
    <n v="2"/>
    <n v="0"/>
    <n v="5.76"/>
  </r>
  <r>
    <n v="20"/>
    <x v="19"/>
    <x v="3"/>
    <x v="8"/>
    <x v="1"/>
    <x v="1"/>
    <x v="2"/>
    <x v="7"/>
    <n v="275.94"/>
    <n v="3"/>
    <n v="0.4"/>
    <n v="899.98199999999997"/>
  </r>
  <r>
    <n v="21"/>
    <x v="20"/>
    <x v="0"/>
    <x v="8"/>
    <x v="1"/>
    <x v="1"/>
    <x v="1"/>
    <x v="8"/>
    <n v="360"/>
    <n v="3"/>
    <n v="0.2"/>
    <n v="86.352000000000004"/>
  </r>
  <r>
    <n v="22"/>
    <x v="21"/>
    <x v="4"/>
    <x v="9"/>
    <x v="8"/>
    <x v="2"/>
    <x v="1"/>
    <x v="6"/>
    <n v="43.57"/>
    <n v="5"/>
    <n v="0.2"/>
    <n v="139.96000000000004"/>
  </r>
  <r>
    <n v="23"/>
    <x v="22"/>
    <x v="5"/>
    <x v="9"/>
    <x v="8"/>
    <x v="2"/>
    <x v="1"/>
    <x v="9"/>
    <n v="7.16"/>
    <n v="6"/>
    <n v="0.2"/>
    <n v="16.704000000000001"/>
  </r>
  <r>
    <n v="24"/>
    <x v="23"/>
    <x v="6"/>
    <x v="10"/>
    <x v="9"/>
    <x v="3"/>
    <x v="0"/>
    <x v="1"/>
    <n v="251.52"/>
    <n v="2"/>
    <n v="0.2"/>
    <n v="3.1520000000000001"/>
  </r>
  <r>
    <n v="25"/>
    <x v="24"/>
    <x v="2"/>
    <x v="11"/>
    <x v="7"/>
    <x v="1"/>
    <x v="0"/>
    <x v="3"/>
    <n v="99.99"/>
    <n v="4"/>
    <n v="0.2"/>
    <n v="32.896000000000001"/>
  </r>
  <r>
    <n v="26"/>
    <x v="25"/>
    <x v="0"/>
    <x v="1"/>
    <x v="1"/>
    <x v="1"/>
    <x v="1"/>
    <x v="8"/>
    <n v="15.991999999999999"/>
    <n v="2"/>
    <n v="0.8"/>
    <n v="21.391999999999992"/>
  </r>
  <r>
    <n v="27"/>
    <x v="26"/>
    <x v="7"/>
    <x v="1"/>
    <x v="1"/>
    <x v="1"/>
    <x v="2"/>
    <x v="11"/>
    <n v="290.89800000000002"/>
    <n v="3"/>
    <n v="0.3"/>
    <n v="307.31400000000002"/>
  </r>
  <r>
    <n v="28"/>
    <x v="27"/>
    <x v="2"/>
    <x v="10"/>
    <x v="9"/>
    <x v="3"/>
    <x v="0"/>
    <x v="0"/>
    <n v="54.224000000000004"/>
    <n v="3"/>
    <n v="0.32"/>
    <n v="409.99919999999997"/>
  </r>
  <r>
    <n v="29"/>
    <x v="28"/>
    <x v="1"/>
    <x v="10"/>
    <x v="9"/>
    <x v="3"/>
    <x v="1"/>
    <x v="8"/>
    <n v="786.74400000000003"/>
    <n v="2"/>
    <n v="0.2"/>
    <n v="9.2480000000000011"/>
  </r>
  <r>
    <n v="30"/>
    <x v="29"/>
    <x v="0"/>
    <x v="10"/>
    <x v="9"/>
    <x v="3"/>
    <x v="0"/>
    <x v="5"/>
    <n v="100.24000000000001"/>
    <n v="3"/>
    <n v="0"/>
    <n v="14.669999999999998"/>
  </r>
  <r>
    <n v="31"/>
    <x v="30"/>
    <x v="0"/>
    <x v="10"/>
    <x v="9"/>
    <x v="3"/>
    <x v="1"/>
    <x v="12"/>
    <n v="37.76400000000001"/>
    <n v="7"/>
    <n v="0.2"/>
    <n v="37.408000000000001"/>
  </r>
  <r>
    <n v="32"/>
    <x v="31"/>
    <x v="1"/>
    <x v="10"/>
    <x v="9"/>
    <x v="3"/>
    <x v="1"/>
    <x v="6"/>
    <n v="82.8"/>
    <n v="2"/>
    <n v="0.7"/>
    <n v="3.4380000000000006"/>
  </r>
  <r>
    <n v="33"/>
    <x v="32"/>
    <x v="0"/>
    <x v="10"/>
    <x v="9"/>
    <x v="3"/>
    <x v="1"/>
    <x v="8"/>
    <n v="20.724000000000004"/>
    <n v="3"/>
    <n v="0.2"/>
    <n v="7.1519999999999992"/>
  </r>
  <r>
    <n v="34"/>
    <x v="33"/>
    <x v="2"/>
    <x v="10"/>
    <x v="9"/>
    <x v="3"/>
    <x v="1"/>
    <x v="6"/>
    <n v="4.8960000000000008"/>
    <n v="6"/>
    <n v="0"/>
    <n v="179.7"/>
  </r>
  <r>
    <n v="35"/>
    <x v="34"/>
    <x v="3"/>
    <x v="12"/>
    <x v="5"/>
    <x v="2"/>
    <x v="1"/>
    <x v="10"/>
    <n v="4.7520000000000007"/>
    <n v="8"/>
    <n v="0"/>
    <n v="90.64"/>
  </r>
  <r>
    <n v="36"/>
    <x v="35"/>
    <x v="0"/>
    <x v="13"/>
    <x v="5"/>
    <x v="2"/>
    <x v="2"/>
    <x v="7"/>
    <n v="959.98400000000004"/>
    <n v="3"/>
    <n v="0"/>
    <n v="177"/>
  </r>
  <r>
    <n v="37"/>
    <x v="36"/>
    <x v="4"/>
    <x v="13"/>
    <x v="5"/>
    <x v="2"/>
    <x v="0"/>
    <x v="5"/>
    <n v="14.368000000000002"/>
    <n v="7"/>
    <n v="0"/>
    <n v="79.45"/>
  </r>
  <r>
    <n v="38"/>
    <x v="37"/>
    <x v="5"/>
    <x v="12"/>
    <x v="5"/>
    <x v="2"/>
    <x v="1"/>
    <x v="12"/>
    <n v="7.7120000000000006"/>
    <n v="9"/>
    <n v="0"/>
    <n v="1628.82"/>
  </r>
  <r>
    <n v="39"/>
    <x v="38"/>
    <x v="6"/>
    <x v="12"/>
    <x v="5"/>
    <x v="2"/>
    <x v="0"/>
    <x v="0"/>
    <n v="698.35200000000009"/>
    <n v="2"/>
    <n v="0"/>
    <n v="137.54"/>
  </r>
  <r>
    <n v="40"/>
    <x v="39"/>
    <x v="2"/>
    <x v="12"/>
    <x v="5"/>
    <x v="2"/>
    <x v="0"/>
    <x v="1"/>
    <n v="4.96"/>
    <n v="4"/>
    <n v="0"/>
    <n v="730.2"/>
  </r>
  <r>
    <n v="41"/>
    <x v="40"/>
    <x v="0"/>
    <x v="12"/>
    <x v="5"/>
    <x v="2"/>
    <x v="2"/>
    <x v="7"/>
    <n v="17.856000000000002"/>
    <n v="2"/>
    <n v="0"/>
    <n v="11.56"/>
  </r>
  <r>
    <n v="42"/>
    <x v="41"/>
    <x v="7"/>
    <x v="14"/>
    <x v="10"/>
    <x v="2"/>
    <x v="2"/>
    <x v="7"/>
    <n v="509.97000000000008"/>
    <n v="13"/>
    <n v="0.4"/>
    <n v="4297.6440000000002"/>
  </r>
  <r>
    <n v="43"/>
    <x v="42"/>
    <x v="2"/>
    <x v="1"/>
    <x v="1"/>
    <x v="1"/>
    <x v="1"/>
    <x v="4"/>
    <n v="30.991999999999997"/>
    <n v="5"/>
    <n v="0"/>
    <n v="20.65"/>
  </r>
  <r>
    <n v="44"/>
    <x v="43"/>
    <x v="1"/>
    <x v="15"/>
    <x v="2"/>
    <x v="0"/>
    <x v="1"/>
    <x v="4"/>
    <n v="71.927999999999997"/>
    <n v="5"/>
    <n v="0"/>
    <n v="204.89999999999998"/>
  </r>
  <r>
    <n v="45"/>
    <x v="44"/>
    <x v="0"/>
    <x v="16"/>
    <x v="11"/>
    <x v="2"/>
    <x v="2"/>
    <x v="11"/>
    <n v="88.800000000000011"/>
    <n v="6"/>
    <n v="0.2"/>
    <n v="436.70400000000006"/>
  </r>
  <r>
    <n v="46"/>
    <x v="45"/>
    <x v="0"/>
    <x v="16"/>
    <x v="11"/>
    <x v="2"/>
    <x v="1"/>
    <x v="8"/>
    <n v="47.975999999999999"/>
    <n v="2"/>
    <n v="0.2"/>
    <n v="481.56800000000004"/>
  </r>
  <r>
    <n v="47"/>
    <x v="46"/>
    <x v="1"/>
    <x v="17"/>
    <x v="12"/>
    <x v="2"/>
    <x v="1"/>
    <x v="4"/>
    <n v="7.5600000000000005"/>
    <n v="7"/>
    <n v="0.2"/>
    <n v="89.544000000000011"/>
  </r>
  <r>
    <n v="48"/>
    <x v="47"/>
    <x v="0"/>
    <x v="18"/>
    <x v="13"/>
    <x v="3"/>
    <x v="2"/>
    <x v="11"/>
    <n v="24.56"/>
    <n v="2"/>
    <n v="0.2"/>
    <n v="35.167999999999999"/>
  </r>
  <r>
    <n v="49"/>
    <x v="48"/>
    <x v="2"/>
    <x v="18"/>
    <x v="13"/>
    <x v="3"/>
    <x v="2"/>
    <x v="7"/>
    <n v="12.96"/>
    <n v="2"/>
    <n v="0.7"/>
    <n v="72.588000000000008"/>
  </r>
  <r>
    <n v="50"/>
    <x v="49"/>
    <x v="3"/>
    <x v="19"/>
    <x v="14"/>
    <x v="2"/>
    <x v="1"/>
    <x v="8"/>
    <n v="6.79"/>
    <n v="4"/>
    <n v="0"/>
    <n v="221.16"/>
  </r>
  <r>
    <n v="51"/>
    <x v="50"/>
    <x v="0"/>
    <x v="19"/>
    <x v="14"/>
    <x v="2"/>
    <x v="1"/>
    <x v="2"/>
    <n v="24.56"/>
    <n v="3"/>
    <n v="0"/>
    <n v="281.96999999999997"/>
  </r>
  <r>
    <n v="52"/>
    <x v="51"/>
    <x v="4"/>
    <x v="19"/>
    <x v="14"/>
    <x v="2"/>
    <x v="0"/>
    <x v="5"/>
    <n v="3.048"/>
    <n v="8"/>
    <n v="0.15"/>
    <n v="3406.6640000000002"/>
  </r>
  <r>
    <n v="53"/>
    <x v="52"/>
    <x v="5"/>
    <x v="19"/>
    <x v="14"/>
    <x v="2"/>
    <x v="0"/>
    <x v="1"/>
    <n v="49.12"/>
    <n v="9"/>
    <n v="0"/>
    <n v="37.17"/>
  </r>
  <r>
    <n v="54"/>
    <x v="53"/>
    <x v="6"/>
    <x v="20"/>
    <x v="15"/>
    <x v="3"/>
    <x v="1"/>
    <x v="13"/>
    <n v="4355.1680000000006"/>
    <n v="2"/>
    <n v="0"/>
    <n v="64.959999999999994"/>
  </r>
  <r>
    <n v="55"/>
    <x v="54"/>
    <x v="2"/>
    <x v="20"/>
    <x v="15"/>
    <x v="3"/>
    <x v="2"/>
    <x v="7"/>
    <n v="388.70400000000006"/>
    <n v="6"/>
    <n v="0"/>
    <n v="595.38"/>
  </r>
  <r>
    <n v="56"/>
    <x v="55"/>
    <x v="0"/>
    <x v="21"/>
    <x v="15"/>
    <x v="3"/>
    <x v="1"/>
    <x v="4"/>
    <n v="8.26"/>
    <n v="2"/>
    <n v="0.2"/>
    <n v="95.984000000000009"/>
  </r>
  <r>
    <n v="57"/>
    <x v="56"/>
    <x v="7"/>
    <x v="21"/>
    <x v="15"/>
    <x v="3"/>
    <x v="1"/>
    <x v="10"/>
    <n v="17.04"/>
    <n v="2"/>
    <n v="0.7"/>
    <n v="4.9380000000000006"/>
  </r>
  <r>
    <n v="58"/>
    <x v="57"/>
    <x v="2"/>
    <x v="21"/>
    <x v="15"/>
    <x v="3"/>
    <x v="0"/>
    <x v="1"/>
    <n v="34.4"/>
    <n v="3"/>
    <n v="0"/>
    <n v="97.44"/>
  </r>
  <r>
    <n v="59"/>
    <x v="58"/>
    <x v="1"/>
    <x v="21"/>
    <x v="15"/>
    <x v="3"/>
    <x v="1"/>
    <x v="10"/>
    <n v="36.240000000000009"/>
    <n v="1"/>
    <n v="0.2"/>
    <n v="3.9840000000000004"/>
  </r>
  <r>
    <n v="60"/>
    <x v="59"/>
    <x v="0"/>
    <x v="21"/>
    <x v="15"/>
    <x v="3"/>
    <x v="2"/>
    <x v="11"/>
    <n v="647.84"/>
    <n v="4"/>
    <n v="0"/>
    <n v="13.04"/>
  </r>
  <r>
    <n v="61"/>
    <x v="60"/>
    <x v="0"/>
    <x v="21"/>
    <x v="15"/>
    <x v="3"/>
    <x v="1"/>
    <x v="8"/>
    <n v="20.7"/>
    <n v="4"/>
    <n v="0.1"/>
    <n v="579.52800000000002"/>
  </r>
  <r>
    <n v="62"/>
    <x v="61"/>
    <x v="1"/>
    <x v="21"/>
    <x v="15"/>
    <x v="3"/>
    <x v="1"/>
    <x v="6"/>
    <n v="20.7"/>
    <n v="5"/>
    <n v="0"/>
    <n v="18.75"/>
  </r>
  <r>
    <n v="63"/>
    <x v="62"/>
    <x v="0"/>
    <x v="1"/>
    <x v="1"/>
    <x v="1"/>
    <x v="2"/>
    <x v="11"/>
    <n v="488.64600000000002"/>
    <n v="9"/>
    <n v="0.2"/>
    <n v="3023.9280000000003"/>
  </r>
  <r>
    <n v="64"/>
    <x v="63"/>
    <x v="2"/>
    <x v="1"/>
    <x v="1"/>
    <x v="1"/>
    <x v="1"/>
    <x v="8"/>
    <n v="5.56"/>
    <n v="2"/>
    <n v="0"/>
    <n v="26.96"/>
  </r>
  <r>
    <n v="65"/>
    <x v="64"/>
    <x v="3"/>
    <x v="1"/>
    <x v="1"/>
    <x v="1"/>
    <x v="1"/>
    <x v="10"/>
    <n v="47.12"/>
    <n v="3"/>
    <n v="0.2"/>
    <n v="477.6"/>
  </r>
  <r>
    <n v="66"/>
    <x v="65"/>
    <x v="0"/>
    <x v="1"/>
    <x v="1"/>
    <x v="1"/>
    <x v="0"/>
    <x v="5"/>
    <n v="211.96"/>
    <n v="3"/>
    <n v="0"/>
    <n v="193.95000000000002"/>
  </r>
  <r>
    <n v="67"/>
    <x v="66"/>
    <x v="4"/>
    <x v="22"/>
    <x v="10"/>
    <x v="2"/>
    <x v="0"/>
    <x v="1"/>
    <n v="23.2"/>
    <n v="2"/>
    <n v="0"/>
    <n v="12.96"/>
  </r>
  <r>
    <n v="68"/>
    <x v="67"/>
    <x v="5"/>
    <x v="23"/>
    <x v="16"/>
    <x v="1"/>
    <x v="1"/>
    <x v="6"/>
    <n v="7.36"/>
    <n v="3"/>
    <n v="0"/>
    <n v="119.94"/>
  </r>
  <r>
    <n v="69"/>
    <x v="68"/>
    <x v="6"/>
    <x v="23"/>
    <x v="16"/>
    <x v="1"/>
    <x v="2"/>
    <x v="7"/>
    <n v="104.79"/>
    <n v="3"/>
    <n v="0"/>
    <n v="12.419999999999998"/>
  </r>
  <r>
    <n v="70"/>
    <x v="69"/>
    <x v="2"/>
    <x v="24"/>
    <x v="17"/>
    <x v="0"/>
    <x v="1"/>
    <x v="10"/>
    <n v="1043.92"/>
    <n v="7"/>
    <n v="0.2"/>
    <n v="18.088000000000001"/>
  </r>
  <r>
    <n v="71"/>
    <x v="70"/>
    <x v="0"/>
    <x v="20"/>
    <x v="15"/>
    <x v="3"/>
    <x v="1"/>
    <x v="8"/>
    <n v="25.920000000000005"/>
    <n v="3"/>
    <n v="0"/>
    <n v="71.97"/>
  </r>
  <r>
    <n v="72"/>
    <x v="71"/>
    <x v="7"/>
    <x v="25"/>
    <x v="12"/>
    <x v="2"/>
    <x v="1"/>
    <x v="10"/>
    <n v="53.424000000000007"/>
    <n v="3"/>
    <n v="0"/>
    <n v="14.940000000000001"/>
  </r>
  <r>
    <n v="73"/>
    <x v="72"/>
    <x v="2"/>
    <x v="26"/>
    <x v="18"/>
    <x v="0"/>
    <x v="0"/>
    <x v="1"/>
    <n v="8.1600000000000019"/>
    <n v="7"/>
    <n v="0.2"/>
    <n v="64.680000000000007"/>
  </r>
  <r>
    <n v="74"/>
    <x v="73"/>
    <x v="1"/>
    <x v="26"/>
    <x v="18"/>
    <x v="0"/>
    <x v="0"/>
    <x v="5"/>
    <n v="1023.9360000000001"/>
    <n v="5"/>
    <n v="0.2"/>
    <n v="22"/>
  </r>
  <r>
    <n v="75"/>
    <x v="74"/>
    <x v="0"/>
    <x v="26"/>
    <x v="18"/>
    <x v="0"/>
    <x v="1"/>
    <x v="4"/>
    <n v="9.24"/>
    <n v="2"/>
    <n v="0.2"/>
    <n v="7.9680000000000009"/>
  </r>
  <r>
    <n v="76"/>
    <x v="75"/>
    <x v="0"/>
    <x v="12"/>
    <x v="5"/>
    <x v="2"/>
    <x v="1"/>
    <x v="8"/>
    <n v="479.04"/>
    <n v="5"/>
    <n v="0.4"/>
    <n v="1499.9699999999998"/>
  </r>
  <r>
    <n v="77"/>
    <x v="76"/>
    <x v="1"/>
    <x v="12"/>
    <x v="5"/>
    <x v="2"/>
    <x v="0"/>
    <x v="5"/>
    <n v="99.13600000000001"/>
    <n v="1"/>
    <n v="0.2"/>
    <n v="26.632000000000001"/>
  </r>
  <r>
    <n v="78"/>
    <x v="77"/>
    <x v="0"/>
    <x v="12"/>
    <x v="5"/>
    <x v="2"/>
    <x v="1"/>
    <x v="4"/>
    <n v="1488.4239999999998"/>
    <n v="4"/>
    <n v="0"/>
    <n v="41.6"/>
  </r>
  <r>
    <n v="79"/>
    <x v="78"/>
    <x v="2"/>
    <x v="12"/>
    <x v="5"/>
    <x v="2"/>
    <x v="0"/>
    <x v="5"/>
    <n v="8.6519999999999975"/>
    <n v="6"/>
    <n v="0"/>
    <n v="64.02"/>
  </r>
  <r>
    <n v="80"/>
    <x v="79"/>
    <x v="3"/>
    <x v="27"/>
    <x v="19"/>
    <x v="0"/>
    <x v="1"/>
    <x v="9"/>
    <n v="23.832000000000001"/>
    <n v="3"/>
    <n v="0"/>
    <n v="6.99"/>
  </r>
  <r>
    <n v="81"/>
    <x v="80"/>
    <x v="0"/>
    <x v="27"/>
    <x v="19"/>
    <x v="0"/>
    <x v="1"/>
    <x v="8"/>
    <n v="12.175999999999998"/>
    <n v="1"/>
    <n v="0"/>
    <n v="6.84"/>
  </r>
  <r>
    <n v="82"/>
    <x v="81"/>
    <x v="4"/>
    <x v="8"/>
    <x v="1"/>
    <x v="1"/>
    <x v="1"/>
    <x v="6"/>
    <n v="50.96"/>
    <n v="2"/>
    <n v="0"/>
    <n v="323.10000000000002"/>
  </r>
  <r>
    <n v="83"/>
    <x v="82"/>
    <x v="5"/>
    <x v="8"/>
    <x v="1"/>
    <x v="1"/>
    <x v="1"/>
    <x v="4"/>
    <n v="49.536000000000001"/>
    <n v="9"/>
    <n v="0.2"/>
    <n v="668.16"/>
  </r>
  <r>
    <n v="84"/>
    <x v="83"/>
    <x v="6"/>
    <x v="28"/>
    <x v="3"/>
    <x v="0"/>
    <x v="1"/>
    <x v="12"/>
    <n v="41.9"/>
    <n v="3"/>
    <n v="0"/>
    <n v="8.64"/>
  </r>
  <r>
    <n v="85"/>
    <x v="84"/>
    <x v="2"/>
    <x v="22"/>
    <x v="10"/>
    <x v="2"/>
    <x v="1"/>
    <x v="4"/>
    <n v="375.45750000000004"/>
    <n v="6"/>
    <n v="0"/>
    <n v="38.880000000000003"/>
  </r>
  <r>
    <n v="86"/>
    <x v="85"/>
    <x v="0"/>
    <x v="29"/>
    <x v="20"/>
    <x v="0"/>
    <x v="0"/>
    <x v="1"/>
    <n v="83.976000000000013"/>
    <n v="8"/>
    <n v="0"/>
    <n v="201.04"/>
  </r>
  <r>
    <n v="87"/>
    <x v="86"/>
    <x v="7"/>
    <x v="30"/>
    <x v="11"/>
    <x v="2"/>
    <x v="2"/>
    <x v="11"/>
    <n v="482.34000000000003"/>
    <n v="2"/>
    <n v="0"/>
    <n v="12.96"/>
  </r>
  <r>
    <n v="88"/>
    <x v="87"/>
    <x v="2"/>
    <x v="30"/>
    <x v="11"/>
    <x v="2"/>
    <x v="1"/>
    <x v="2"/>
    <n v="2.9600000000000004"/>
    <n v="1"/>
    <n v="0"/>
    <n v="16.59"/>
  </r>
  <r>
    <n v="89"/>
    <x v="88"/>
    <x v="1"/>
    <x v="12"/>
    <x v="5"/>
    <x v="2"/>
    <x v="1"/>
    <x v="4"/>
    <n v="2.6240000000000001"/>
    <n v="6"/>
    <n v="0"/>
    <n v="35.099999999999994"/>
  </r>
  <r>
    <n v="90"/>
    <x v="89"/>
    <x v="0"/>
    <x v="1"/>
    <x v="1"/>
    <x v="1"/>
    <x v="1"/>
    <x v="6"/>
    <n v="23.36"/>
    <n v="9"/>
    <n v="0.8"/>
    <n v="11.645999999999997"/>
  </r>
  <r>
    <n v="91"/>
    <x v="90"/>
    <x v="0"/>
    <x v="1"/>
    <x v="1"/>
    <x v="1"/>
    <x v="2"/>
    <x v="7"/>
    <n v="39.979999999999997"/>
    <n v="5"/>
    <n v="0"/>
    <n v="32.400000000000006"/>
  </r>
  <r>
    <n v="92"/>
    <x v="91"/>
    <x v="1"/>
    <x v="1"/>
    <x v="1"/>
    <x v="1"/>
    <x v="1"/>
    <x v="10"/>
    <n v="246.38400000000001"/>
    <n v="4"/>
    <n v="0"/>
    <n v="503.96"/>
  </r>
  <r>
    <n v="93"/>
    <x v="92"/>
    <x v="0"/>
    <x v="31"/>
    <x v="11"/>
    <x v="2"/>
    <x v="1"/>
    <x v="10"/>
    <n v="1799.97"/>
    <n v="4"/>
    <n v="0"/>
    <n v="7.04"/>
  </r>
  <r>
    <n v="94"/>
    <x v="93"/>
    <x v="2"/>
    <x v="31"/>
    <x v="11"/>
    <x v="2"/>
    <x v="0"/>
    <x v="5"/>
    <n v="12.461999999999996"/>
    <n v="3"/>
    <n v="0.32"/>
    <n v="613.99919999999997"/>
  </r>
  <r>
    <n v="95"/>
    <x v="94"/>
    <x v="3"/>
    <x v="31"/>
    <x v="11"/>
    <x v="2"/>
    <x v="1"/>
    <x v="8"/>
    <n v="75.792000000000002"/>
    <n v="11"/>
    <n v="0"/>
    <n v="470.35999999999996"/>
  </r>
  <r>
    <n v="96"/>
    <x v="95"/>
    <x v="0"/>
    <x v="32"/>
    <x v="21"/>
    <x v="1"/>
    <x v="1"/>
    <x v="8"/>
    <n v="49.96"/>
    <n v="6"/>
    <n v="0"/>
    <n v="31.08"/>
  </r>
  <r>
    <n v="97"/>
    <x v="96"/>
    <x v="4"/>
    <x v="20"/>
    <x v="15"/>
    <x v="3"/>
    <x v="0"/>
    <x v="5"/>
    <n v="12.96"/>
    <n v="2"/>
    <n v="0"/>
    <n v="7.3"/>
  </r>
  <r>
    <n v="98"/>
    <x v="97"/>
    <x v="5"/>
    <x v="8"/>
    <x v="1"/>
    <x v="1"/>
    <x v="1"/>
    <x v="8"/>
    <n v="70.12"/>
    <n v="4"/>
    <n v="0.2"/>
    <n v="73.536000000000001"/>
  </r>
  <r>
    <n v="99"/>
    <x v="98"/>
    <x v="6"/>
    <x v="33"/>
    <x v="11"/>
    <x v="2"/>
    <x v="1"/>
    <x v="9"/>
    <n v="35.952000000000005"/>
    <n v="5"/>
    <n v="0"/>
    <n v="491.55"/>
  </r>
  <r>
    <n v="100"/>
    <x v="99"/>
    <x v="2"/>
    <x v="22"/>
    <x v="10"/>
    <x v="2"/>
    <x v="1"/>
    <x v="10"/>
    <n v="2396.2655999999997"/>
    <n v="4"/>
    <n v="0.2"/>
    <n v="30.336000000000002"/>
  </r>
  <r>
    <n v="101"/>
    <x v="100"/>
    <x v="0"/>
    <x v="22"/>
    <x v="10"/>
    <x v="2"/>
    <x v="2"/>
    <x v="11"/>
    <n v="131.136"/>
    <n v="3"/>
    <n v="0"/>
    <n v="22.830000000000002"/>
  </r>
  <r>
    <n v="102"/>
    <x v="101"/>
    <x v="7"/>
    <x v="22"/>
    <x v="10"/>
    <x v="2"/>
    <x v="1"/>
    <x v="8"/>
    <n v="57.584000000000003"/>
    <n v="4"/>
    <n v="0"/>
    <n v="54.32"/>
  </r>
  <r>
    <n v="103"/>
    <x v="102"/>
    <x v="2"/>
    <x v="30"/>
    <x v="11"/>
    <x v="2"/>
    <x v="1"/>
    <x v="10"/>
    <n v="9.5680000000000014"/>
    <n v="3"/>
    <n v="0.2"/>
    <n v="196.77600000000001"/>
  </r>
  <r>
    <n v="104"/>
    <x v="103"/>
    <x v="1"/>
    <x v="34"/>
    <x v="22"/>
    <x v="1"/>
    <x v="2"/>
    <x v="11"/>
    <n v="39.072000000000003"/>
    <n v="2"/>
    <n v="0"/>
    <n v="3.62"/>
  </r>
  <r>
    <n v="105"/>
    <x v="104"/>
    <x v="0"/>
    <x v="34"/>
    <x v="22"/>
    <x v="1"/>
    <x v="0"/>
    <x v="5"/>
    <n v="35.910000000000004"/>
    <n v="1"/>
    <n v="0"/>
    <n v="11.54"/>
  </r>
  <r>
    <n v="106"/>
    <x v="105"/>
    <x v="0"/>
    <x v="34"/>
    <x v="22"/>
    <x v="1"/>
    <x v="1"/>
    <x v="8"/>
    <n v="179.95000000000002"/>
    <n v="5"/>
    <n v="0"/>
    <n v="849.95"/>
  </r>
  <r>
    <n v="107"/>
    <x v="106"/>
    <x v="1"/>
    <x v="35"/>
    <x v="3"/>
    <x v="0"/>
    <x v="2"/>
    <x v="11"/>
    <n v="1199.9760000000001"/>
    <n v="3"/>
    <n v="0"/>
    <n v="11.01"/>
  </r>
  <r>
    <n v="108"/>
    <x v="107"/>
    <x v="0"/>
    <x v="35"/>
    <x v="3"/>
    <x v="0"/>
    <x v="2"/>
    <x v="7"/>
    <n v="27.15"/>
    <n v="3"/>
    <n v="0.2"/>
    <n v="39.624000000000009"/>
  </r>
  <r>
    <n v="109"/>
    <x v="108"/>
    <x v="2"/>
    <x v="35"/>
    <x v="3"/>
    <x v="0"/>
    <x v="1"/>
    <x v="6"/>
    <n v="1004.0239999999999"/>
    <n v="3"/>
    <n v="0.2"/>
    <n v="242.13600000000002"/>
  </r>
  <r>
    <n v="110"/>
    <x v="109"/>
    <x v="3"/>
    <x v="36"/>
    <x v="10"/>
    <x v="2"/>
    <x v="2"/>
    <x v="11"/>
    <n v="9.68"/>
    <n v="3"/>
    <n v="0"/>
    <n v="12.39"/>
  </r>
  <r>
    <n v="111"/>
    <x v="110"/>
    <x v="0"/>
    <x v="20"/>
    <x v="15"/>
    <x v="3"/>
    <x v="0"/>
    <x v="5"/>
    <n v="28.349999999999998"/>
    <n v="2"/>
    <n v="0"/>
    <n v="19.96"/>
  </r>
  <r>
    <n v="112"/>
    <x v="111"/>
    <x v="4"/>
    <x v="37"/>
    <x v="23"/>
    <x v="2"/>
    <x v="1"/>
    <x v="6"/>
    <n v="55.98"/>
    <n v="3"/>
    <n v="0"/>
    <n v="340.92"/>
  </r>
  <r>
    <n v="113"/>
    <x v="112"/>
    <x v="5"/>
    <x v="37"/>
    <x v="23"/>
    <x v="2"/>
    <x v="1"/>
    <x v="8"/>
    <n v="1336.829"/>
    <n v="2"/>
    <n v="0.2"/>
    <n v="273.56799999999998"/>
  </r>
  <r>
    <n v="114"/>
    <x v="113"/>
    <x v="6"/>
    <x v="38"/>
    <x v="24"/>
    <x v="3"/>
    <x v="1"/>
    <x v="13"/>
    <n v="113.56800000000001"/>
    <n v="2"/>
    <n v="0.7"/>
    <n v="13.194000000000001"/>
  </r>
  <r>
    <n v="115"/>
    <x v="114"/>
    <x v="2"/>
    <x v="38"/>
    <x v="24"/>
    <x v="3"/>
    <x v="1"/>
    <x v="12"/>
    <n v="139.86000000000001"/>
    <n v="6"/>
    <n v="0.2"/>
    <n v="1080.096"/>
  </r>
  <r>
    <n v="116"/>
    <x v="115"/>
    <x v="0"/>
    <x v="38"/>
    <x v="24"/>
    <x v="3"/>
    <x v="1"/>
    <x v="10"/>
    <n v="307.13600000000002"/>
    <n v="5"/>
    <n v="0.2"/>
    <n v="51.56"/>
  </r>
  <r>
    <n v="117"/>
    <x v="116"/>
    <x v="7"/>
    <x v="38"/>
    <x v="24"/>
    <x v="3"/>
    <x v="1"/>
    <x v="12"/>
    <n v="95.92"/>
    <n v="2"/>
    <n v="0.2"/>
    <n v="58.415999999999997"/>
  </r>
  <r>
    <n v="118"/>
    <x v="117"/>
    <x v="2"/>
    <x v="4"/>
    <x v="4"/>
    <x v="1"/>
    <x v="0"/>
    <x v="3"/>
    <n v="383.8"/>
    <n v="2"/>
    <n v="0.2"/>
    <n v="57.584000000000003"/>
  </r>
  <r>
    <n v="119"/>
    <x v="118"/>
    <x v="1"/>
    <x v="39"/>
    <x v="18"/>
    <x v="0"/>
    <x v="1"/>
    <x v="8"/>
    <n v="5.78"/>
    <n v="4"/>
    <n v="0.2"/>
    <n v="37.312000000000005"/>
  </r>
  <r>
    <n v="120"/>
    <x v="119"/>
    <x v="0"/>
    <x v="40"/>
    <x v="13"/>
    <x v="3"/>
    <x v="0"/>
    <x v="5"/>
    <n v="9.32"/>
    <n v="5"/>
    <n v="0.2"/>
    <n v="79.959999999999994"/>
  </r>
  <r>
    <n v="121"/>
    <x v="120"/>
    <x v="0"/>
    <x v="40"/>
    <x v="13"/>
    <x v="3"/>
    <x v="1"/>
    <x v="8"/>
    <n v="15.25"/>
    <n v="5"/>
    <n v="0.2"/>
    <n v="223.96"/>
  </r>
  <r>
    <n v="122"/>
    <x v="121"/>
    <x v="1"/>
    <x v="40"/>
    <x v="13"/>
    <x v="3"/>
    <x v="1"/>
    <x v="4"/>
    <n v="196.75200000000001"/>
    <n v="2"/>
    <n v="0.2"/>
    <n v="221.024"/>
  </r>
  <r>
    <n v="123"/>
    <x v="122"/>
    <x v="0"/>
    <x v="40"/>
    <x v="13"/>
    <x v="3"/>
    <x v="1"/>
    <x v="12"/>
    <n v="56.56"/>
    <n v="2"/>
    <n v="0"/>
    <n v="18.96"/>
  </r>
  <r>
    <n v="124"/>
    <x v="123"/>
    <x v="2"/>
    <x v="40"/>
    <x v="13"/>
    <x v="3"/>
    <x v="2"/>
    <x v="7"/>
    <n v="32.700000000000003"/>
    <n v="3"/>
    <n v="0.1"/>
    <n v="326.64600000000002"/>
  </r>
  <r>
    <n v="125"/>
    <x v="124"/>
    <x v="3"/>
    <x v="12"/>
    <x v="5"/>
    <x v="2"/>
    <x v="0"/>
    <x v="1"/>
    <n v="866.4"/>
    <n v="3"/>
    <n v="0"/>
    <n v="89.97"/>
  </r>
  <r>
    <n v="126"/>
    <x v="125"/>
    <x v="0"/>
    <x v="41"/>
    <x v="10"/>
    <x v="2"/>
    <x v="0"/>
    <x v="3"/>
    <n v="28.4"/>
    <n v="13"/>
    <n v="0.2"/>
    <n v="296.71200000000005"/>
  </r>
  <r>
    <n v="127"/>
    <x v="126"/>
    <x v="4"/>
    <x v="42"/>
    <x v="16"/>
    <x v="1"/>
    <x v="1"/>
    <x v="8"/>
    <n v="287.92"/>
    <n v="2"/>
    <n v="0.2"/>
    <n v="12.224"/>
  </r>
  <r>
    <n v="128"/>
    <x v="127"/>
    <x v="5"/>
    <x v="42"/>
    <x v="16"/>
    <x v="1"/>
    <x v="1"/>
    <x v="4"/>
    <n v="69.989999999999995"/>
    <n v="3"/>
    <n v="0"/>
    <n v="89.97"/>
  </r>
  <r>
    <n v="129"/>
    <x v="128"/>
    <x v="6"/>
    <x v="1"/>
    <x v="1"/>
    <x v="1"/>
    <x v="0"/>
    <x v="1"/>
    <n v="6.6719999999999988"/>
    <n v="7"/>
    <n v="0"/>
    <n v="286.85999999999996"/>
  </r>
  <r>
    <n v="130"/>
    <x v="129"/>
    <x v="2"/>
    <x v="1"/>
    <x v="1"/>
    <x v="1"/>
    <x v="0"/>
    <x v="5"/>
    <n v="189.58800000000005"/>
    <n v="5"/>
    <n v="0"/>
    <n v="979.95"/>
  </r>
  <r>
    <n v="131"/>
    <x v="130"/>
    <x v="0"/>
    <x v="38"/>
    <x v="24"/>
    <x v="3"/>
    <x v="2"/>
    <x v="7"/>
    <n v="408.74399999999997"/>
    <n v="2"/>
    <n v="0"/>
    <n v="4.3600000000000003"/>
  </r>
  <r>
    <n v="132"/>
    <x v="131"/>
    <x v="7"/>
    <x v="38"/>
    <x v="24"/>
    <x v="3"/>
    <x v="1"/>
    <x v="10"/>
    <n v="291.95999999999998"/>
    <n v="2"/>
    <n v="0.2"/>
    <n v="10.048000000000002"/>
  </r>
  <r>
    <n v="133"/>
    <x v="132"/>
    <x v="2"/>
    <x v="38"/>
    <x v="24"/>
    <x v="3"/>
    <x v="1"/>
    <x v="13"/>
    <n v="4.7679999999999998"/>
    <n v="5"/>
    <n v="0"/>
    <n v="807.75"/>
  </r>
  <r>
    <n v="134"/>
    <x v="133"/>
    <x v="1"/>
    <x v="43"/>
    <x v="1"/>
    <x v="1"/>
    <x v="1"/>
    <x v="10"/>
    <n v="714.30000000000007"/>
    <n v="8"/>
    <n v="0"/>
    <n v="34.24"/>
  </r>
  <r>
    <n v="135"/>
    <x v="134"/>
    <x v="0"/>
    <x v="43"/>
    <x v="1"/>
    <x v="1"/>
    <x v="1"/>
    <x v="10"/>
    <n v="4.8120000000000003"/>
    <n v="13"/>
    <n v="0"/>
    <n v="500.23999999999995"/>
  </r>
  <r>
    <n v="136"/>
    <x v="135"/>
    <x v="0"/>
    <x v="43"/>
    <x v="1"/>
    <x v="1"/>
    <x v="1"/>
    <x v="6"/>
    <n v="247.8"/>
    <n v="2"/>
    <n v="0"/>
    <n v="20.12"/>
  </r>
  <r>
    <n v="137"/>
    <x v="136"/>
    <x v="1"/>
    <x v="43"/>
    <x v="1"/>
    <x v="1"/>
    <x v="1"/>
    <x v="13"/>
    <n v="1007.979"/>
    <n v="1"/>
    <n v="0"/>
    <n v="896.99"/>
  </r>
  <r>
    <n v="138"/>
    <x v="137"/>
    <x v="0"/>
    <x v="43"/>
    <x v="1"/>
    <x v="1"/>
    <x v="1"/>
    <x v="8"/>
    <n v="313.488"/>
    <n v="1"/>
    <n v="0.2"/>
    <n v="5.88"/>
  </r>
  <r>
    <n v="139"/>
    <x v="138"/>
    <x v="2"/>
    <x v="43"/>
    <x v="1"/>
    <x v="1"/>
    <x v="1"/>
    <x v="14"/>
    <n v="31.872000000000003"/>
    <n v="2"/>
    <n v="0"/>
    <n v="269.98"/>
  </r>
  <r>
    <n v="140"/>
    <x v="139"/>
    <x v="3"/>
    <x v="43"/>
    <x v="1"/>
    <x v="1"/>
    <x v="0"/>
    <x v="5"/>
    <n v="207.84600000000003"/>
    <n v="2"/>
    <n v="0"/>
    <n v="310.12"/>
  </r>
  <r>
    <n v="141"/>
    <x v="140"/>
    <x v="0"/>
    <x v="10"/>
    <x v="9"/>
    <x v="3"/>
    <x v="0"/>
    <x v="5"/>
    <n v="12.22"/>
    <n v="6"/>
    <n v="0.2"/>
    <n v="70.463999999999999"/>
  </r>
  <r>
    <n v="142"/>
    <x v="141"/>
    <x v="4"/>
    <x v="8"/>
    <x v="1"/>
    <x v="1"/>
    <x v="1"/>
    <x v="6"/>
    <n v="194.94"/>
    <n v="5"/>
    <n v="0.2"/>
    <n v="19.68"/>
  </r>
  <r>
    <n v="143"/>
    <x v="142"/>
    <x v="5"/>
    <x v="8"/>
    <x v="1"/>
    <x v="1"/>
    <x v="1"/>
    <x v="12"/>
    <n v="70.949999999999989"/>
    <n v="3"/>
    <n v="0"/>
    <n v="140.67000000000002"/>
  </r>
  <r>
    <n v="144"/>
    <x v="143"/>
    <x v="6"/>
    <x v="8"/>
    <x v="1"/>
    <x v="1"/>
    <x v="1"/>
    <x v="10"/>
    <n v="91.36"/>
    <n v="5"/>
    <n v="0"/>
    <n v="4404.8999999999996"/>
  </r>
  <r>
    <n v="145"/>
    <x v="144"/>
    <x v="2"/>
    <x v="44"/>
    <x v="25"/>
    <x v="2"/>
    <x v="1"/>
    <x v="9"/>
    <n v="242.94"/>
    <n v="5"/>
    <n v="0"/>
    <n v="62.65"/>
  </r>
  <r>
    <n v="146"/>
    <x v="145"/>
    <x v="0"/>
    <x v="45"/>
    <x v="1"/>
    <x v="1"/>
    <x v="1"/>
    <x v="4"/>
    <n v="22.05"/>
    <n v="3"/>
    <n v="0"/>
    <n v="9.4499999999999993"/>
  </r>
  <r>
    <n v="147"/>
    <x v="146"/>
    <x v="7"/>
    <x v="46"/>
    <x v="24"/>
    <x v="3"/>
    <x v="0"/>
    <x v="5"/>
    <n v="2.91"/>
    <n v="4"/>
    <n v="0.2"/>
    <n v="268.57600000000002"/>
  </r>
  <r>
    <n v="148"/>
    <x v="147"/>
    <x v="2"/>
    <x v="47"/>
    <x v="6"/>
    <x v="2"/>
    <x v="2"/>
    <x v="7"/>
    <n v="59.519999999999996"/>
    <n v="2"/>
    <n v="0.2"/>
    <n v="364.08000000000004"/>
  </r>
  <r>
    <n v="149"/>
    <x v="148"/>
    <x v="1"/>
    <x v="47"/>
    <x v="6"/>
    <x v="2"/>
    <x v="2"/>
    <x v="7"/>
    <n v="161.94"/>
    <n v="2"/>
    <n v="0.2"/>
    <n v="71.088000000000008"/>
  </r>
  <r>
    <n v="150"/>
    <x v="149"/>
    <x v="0"/>
    <x v="47"/>
    <x v="6"/>
    <x v="2"/>
    <x v="0"/>
    <x v="1"/>
    <n v="263.88"/>
    <n v="2"/>
    <n v="0.6"/>
    <n v="10.984000000000002"/>
  </r>
  <r>
    <n v="151"/>
    <x v="150"/>
    <x v="0"/>
    <x v="47"/>
    <x v="6"/>
    <x v="2"/>
    <x v="1"/>
    <x v="8"/>
    <n v="30.48"/>
    <n v="4"/>
    <n v="0.3"/>
    <n v="797.94399999999996"/>
  </r>
  <r>
    <n v="152"/>
    <x v="151"/>
    <x v="1"/>
    <x v="48"/>
    <x v="16"/>
    <x v="1"/>
    <x v="1"/>
    <x v="9"/>
    <n v="9.84"/>
    <n v="2"/>
    <n v="0"/>
    <n v="159.97999999999999"/>
  </r>
  <r>
    <n v="153"/>
    <x v="152"/>
    <x v="0"/>
    <x v="48"/>
    <x v="16"/>
    <x v="1"/>
    <x v="2"/>
    <x v="7"/>
    <n v="35.119999999999997"/>
    <n v="2"/>
    <n v="0.2"/>
    <n v="5.3440000000000003"/>
  </r>
  <r>
    <n v="154"/>
    <x v="153"/>
    <x v="2"/>
    <x v="49"/>
    <x v="1"/>
    <x v="1"/>
    <x v="1"/>
    <x v="10"/>
    <n v="284.36399999999998"/>
    <n v="3"/>
    <n v="0.2"/>
    <n v="27.72"/>
  </r>
  <r>
    <n v="155"/>
    <x v="154"/>
    <x v="3"/>
    <x v="49"/>
    <x v="1"/>
    <x v="1"/>
    <x v="1"/>
    <x v="10"/>
    <n v="665.40800000000002"/>
    <n v="1"/>
    <n v="0.2"/>
    <n v="2.4960000000000004"/>
  </r>
  <r>
    <n v="156"/>
    <x v="155"/>
    <x v="0"/>
    <x v="49"/>
    <x v="1"/>
    <x v="1"/>
    <x v="1"/>
    <x v="4"/>
    <n v="63.88"/>
    <n v="2"/>
    <n v="0"/>
    <n v="8.26"/>
  </r>
  <r>
    <n v="157"/>
    <x v="156"/>
    <x v="4"/>
    <x v="4"/>
    <x v="4"/>
    <x v="1"/>
    <x v="1"/>
    <x v="6"/>
    <n v="129.56800000000001"/>
    <n v="2"/>
    <n v="0"/>
    <n v="17.760000000000002"/>
  </r>
  <r>
    <n v="158"/>
    <x v="157"/>
    <x v="5"/>
    <x v="4"/>
    <x v="4"/>
    <x v="1"/>
    <x v="0"/>
    <x v="1"/>
    <n v="747.55799999999999"/>
    <n v="3"/>
    <n v="0"/>
    <n v="332.94"/>
  </r>
  <r>
    <n v="159"/>
    <x v="158"/>
    <x v="6"/>
    <x v="50"/>
    <x v="26"/>
    <x v="2"/>
    <x v="1"/>
    <x v="2"/>
    <n v="8.9280000000000008"/>
    <n v="2"/>
    <n v="0"/>
    <n v="292.10000000000002"/>
  </r>
  <r>
    <n v="160"/>
    <x v="159"/>
    <x v="2"/>
    <x v="50"/>
    <x v="26"/>
    <x v="2"/>
    <x v="2"/>
    <x v="7"/>
    <n v="103.92"/>
    <n v="5"/>
    <n v="0"/>
    <n v="206.1"/>
  </r>
  <r>
    <n v="161"/>
    <x v="160"/>
    <x v="0"/>
    <x v="1"/>
    <x v="1"/>
    <x v="1"/>
    <x v="1"/>
    <x v="10"/>
    <n v="899.91"/>
    <n v="4"/>
    <n v="0"/>
    <n v="17.64"/>
  </r>
  <r>
    <n v="162"/>
    <x v="161"/>
    <x v="7"/>
    <x v="10"/>
    <x v="9"/>
    <x v="3"/>
    <x v="2"/>
    <x v="11"/>
    <n v="51.311999999999998"/>
    <n v="5"/>
    <n v="0.2"/>
    <n v="1403.9200000000003"/>
  </r>
  <r>
    <n v="163"/>
    <x v="162"/>
    <x v="2"/>
    <x v="51"/>
    <x v="27"/>
    <x v="1"/>
    <x v="1"/>
    <x v="12"/>
    <n v="23.56"/>
    <n v="2"/>
    <n v="0"/>
    <n v="4.3"/>
  </r>
  <r>
    <n v="164"/>
    <x v="163"/>
    <x v="1"/>
    <x v="4"/>
    <x v="4"/>
    <x v="1"/>
    <x v="1"/>
    <x v="8"/>
    <n v="1272.6299999999999"/>
    <n v="3"/>
    <n v="0"/>
    <n v="239.96999999999997"/>
  </r>
  <r>
    <n v="165"/>
    <x v="164"/>
    <x v="0"/>
    <x v="52"/>
    <x v="5"/>
    <x v="2"/>
    <x v="1"/>
    <x v="6"/>
    <n v="28.484999999999999"/>
    <n v="2"/>
    <n v="0"/>
    <n v="81.96"/>
  </r>
  <r>
    <n v="166"/>
    <x v="165"/>
    <x v="0"/>
    <x v="52"/>
    <x v="5"/>
    <x v="2"/>
    <x v="2"/>
    <x v="15"/>
    <n v="185.376"/>
    <n v="2"/>
    <n v="0"/>
    <n v="238.62"/>
  </r>
  <r>
    <n v="167"/>
    <x v="166"/>
    <x v="1"/>
    <x v="52"/>
    <x v="5"/>
    <x v="2"/>
    <x v="1"/>
    <x v="4"/>
    <n v="78.272000000000006"/>
    <n v="5"/>
    <n v="0.2"/>
    <n v="139.80000000000001"/>
  </r>
  <r>
    <n v="168"/>
    <x v="167"/>
    <x v="0"/>
    <x v="52"/>
    <x v="5"/>
    <x v="2"/>
    <x v="0"/>
    <x v="1"/>
    <n v="254.74400000000003"/>
    <n v="2"/>
    <n v="0"/>
    <n v="9.84"/>
  </r>
  <r>
    <n v="169"/>
    <x v="168"/>
    <x v="2"/>
    <x v="52"/>
    <x v="5"/>
    <x v="2"/>
    <x v="1"/>
    <x v="6"/>
    <n v="205.33279999999996"/>
    <n v="1"/>
    <n v="0"/>
    <n v="7.78"/>
  </r>
  <r>
    <n v="170"/>
    <x v="169"/>
    <x v="3"/>
    <x v="52"/>
    <x v="5"/>
    <x v="2"/>
    <x v="1"/>
    <x v="9"/>
    <n v="4.7879999999999985"/>
    <n v="5"/>
    <n v="0"/>
    <n v="54.900000000000006"/>
  </r>
  <r>
    <n v="171"/>
    <x v="170"/>
    <x v="0"/>
    <x v="52"/>
    <x v="5"/>
    <x v="2"/>
    <x v="2"/>
    <x v="7"/>
    <n v="55.48"/>
    <n v="6"/>
    <n v="0"/>
    <n v="50.04"/>
  </r>
  <r>
    <n v="172"/>
    <x v="171"/>
    <x v="4"/>
    <x v="1"/>
    <x v="1"/>
    <x v="1"/>
    <x v="1"/>
    <x v="10"/>
    <n v="340.92"/>
    <n v="5"/>
    <n v="0.2"/>
    <n v="339.92000000000007"/>
  </r>
  <r>
    <n v="173"/>
    <x v="172"/>
    <x v="5"/>
    <x v="1"/>
    <x v="1"/>
    <x v="1"/>
    <x v="1"/>
    <x v="10"/>
    <n v="222.66599999999997"/>
    <n v="4"/>
    <n v="0.2"/>
    <n v="10.528"/>
  </r>
  <r>
    <n v="174"/>
    <x v="173"/>
    <x v="6"/>
    <x v="1"/>
    <x v="1"/>
    <x v="1"/>
    <x v="0"/>
    <x v="1"/>
    <n v="703.96800000000007"/>
    <n v="2"/>
    <n v="0.2"/>
    <n v="42.384"/>
  </r>
  <r>
    <n v="175"/>
    <x v="174"/>
    <x v="2"/>
    <x v="22"/>
    <x v="10"/>
    <x v="2"/>
    <x v="1"/>
    <x v="9"/>
    <n v="92.52"/>
    <n v="5"/>
    <n v="0.2"/>
    <n v="123.92000000000002"/>
  </r>
  <r>
    <n v="176"/>
    <x v="175"/>
    <x v="0"/>
    <x v="22"/>
    <x v="10"/>
    <x v="2"/>
    <x v="1"/>
    <x v="2"/>
    <n v="62.649999999999991"/>
    <n v="1"/>
    <n v="0"/>
    <n v="135.94999999999999"/>
  </r>
  <r>
    <n v="177"/>
    <x v="176"/>
    <x v="7"/>
    <x v="12"/>
    <x v="5"/>
    <x v="2"/>
    <x v="1"/>
    <x v="9"/>
    <n v="94.85"/>
    <n v="8"/>
    <n v="0.8"/>
    <n v="2177.5839999999994"/>
  </r>
  <r>
    <n v="178"/>
    <x v="177"/>
    <x v="2"/>
    <x v="46"/>
    <x v="24"/>
    <x v="3"/>
    <x v="0"/>
    <x v="1"/>
    <n v="95.76"/>
    <n v="3"/>
    <n v="0.6"/>
    <n v="17.496000000000002"/>
  </r>
  <r>
    <n v="179"/>
    <x v="178"/>
    <x v="1"/>
    <x v="46"/>
    <x v="24"/>
    <x v="3"/>
    <x v="1"/>
    <x v="14"/>
    <n v="40.200000000000003"/>
    <n v="4"/>
    <n v="0.8"/>
    <n v="16.783999999999995"/>
  </r>
  <r>
    <n v="180"/>
    <x v="179"/>
    <x v="0"/>
    <x v="20"/>
    <x v="15"/>
    <x v="3"/>
    <x v="1"/>
    <x v="6"/>
    <n v="14.7"/>
    <n v="9"/>
    <n v="0.2"/>
    <n v="431.13600000000002"/>
  </r>
  <r>
    <n v="181"/>
    <x v="180"/>
    <x v="0"/>
    <x v="27"/>
    <x v="10"/>
    <x v="2"/>
    <x v="1"/>
    <x v="4"/>
    <n v="704.25"/>
    <n v="5"/>
    <n v="0.8"/>
    <n v="8.879999999999999"/>
  </r>
  <r>
    <n v="182"/>
    <x v="181"/>
    <x v="1"/>
    <x v="27"/>
    <x v="10"/>
    <x v="2"/>
    <x v="2"/>
    <x v="11"/>
    <n v="9.09"/>
    <n v="2"/>
    <n v="0.8"/>
    <n v="4.8359999999999985"/>
  </r>
  <r>
    <n v="183"/>
    <x v="182"/>
    <x v="0"/>
    <x v="53"/>
    <x v="28"/>
    <x v="0"/>
    <x v="2"/>
    <x v="7"/>
    <n v="5.96"/>
    <n v="3"/>
    <n v="0"/>
    <n v="437.84999999999997"/>
  </r>
  <r>
    <n v="184"/>
    <x v="183"/>
    <x v="2"/>
    <x v="53"/>
    <x v="28"/>
    <x v="0"/>
    <x v="2"/>
    <x v="7"/>
    <n v="159.97999999999999"/>
    <n v="2"/>
    <n v="0.2"/>
    <n v="673.5680000000001"/>
  </r>
  <r>
    <n v="185"/>
    <x v="184"/>
    <x v="3"/>
    <x v="53"/>
    <x v="28"/>
    <x v="0"/>
    <x v="2"/>
    <x v="11"/>
    <n v="29.6"/>
    <n v="5"/>
    <n v="0"/>
    <n v="274.8"/>
  </r>
  <r>
    <n v="186"/>
    <x v="185"/>
    <x v="0"/>
    <x v="54"/>
    <x v="29"/>
    <x v="3"/>
    <x v="1"/>
    <x v="8"/>
    <n v="514.16499999999996"/>
    <n v="1"/>
    <n v="0"/>
    <n v="62.18"/>
  </r>
  <r>
    <n v="187"/>
    <x v="186"/>
    <x v="4"/>
    <x v="1"/>
    <x v="1"/>
    <x v="1"/>
    <x v="2"/>
    <x v="11"/>
    <n v="279.95999999999998"/>
    <n v="2"/>
    <n v="0"/>
    <n v="8.2799999999999994"/>
  </r>
  <r>
    <n v="188"/>
    <x v="187"/>
    <x v="5"/>
    <x v="55"/>
    <x v="5"/>
    <x v="2"/>
    <x v="1"/>
    <x v="4"/>
    <n v="2735.9520000000002"/>
    <n v="3"/>
    <n v="0"/>
    <n v="48.81"/>
  </r>
  <r>
    <n v="189"/>
    <x v="188"/>
    <x v="6"/>
    <x v="55"/>
    <x v="5"/>
    <x v="2"/>
    <x v="1"/>
    <x v="10"/>
    <n v="7.9920000000000009"/>
    <n v="5"/>
    <n v="0"/>
    <n v="149.9"/>
  </r>
  <r>
    <n v="190"/>
    <x v="189"/>
    <x v="2"/>
    <x v="20"/>
    <x v="15"/>
    <x v="3"/>
    <x v="0"/>
    <x v="0"/>
    <n v="63.984000000000009"/>
    <n v="5"/>
    <n v="0.32"/>
    <n v="1023.3319999999999"/>
  </r>
  <r>
    <n v="191"/>
    <x v="190"/>
    <x v="0"/>
    <x v="20"/>
    <x v="15"/>
    <x v="3"/>
    <x v="2"/>
    <x v="7"/>
    <n v="70.367999999999995"/>
    <n v="3"/>
    <n v="0.3"/>
    <n v="600.55799999999999"/>
  </r>
  <r>
    <n v="192"/>
    <x v="191"/>
    <x v="7"/>
    <x v="20"/>
    <x v="15"/>
    <x v="3"/>
    <x v="1"/>
    <x v="10"/>
    <n v="449.15"/>
    <n v="1"/>
    <n v="0.2"/>
    <n v="39.992000000000004"/>
  </r>
  <r>
    <n v="193"/>
    <x v="192"/>
    <x v="2"/>
    <x v="20"/>
    <x v="15"/>
    <x v="3"/>
    <x v="0"/>
    <x v="0"/>
    <n v="11.07"/>
    <n v="2"/>
    <n v="0.3"/>
    <n v="211.24599999999998"/>
  </r>
  <r>
    <n v="194"/>
    <x v="193"/>
    <x v="1"/>
    <x v="20"/>
    <x v="15"/>
    <x v="3"/>
    <x v="1"/>
    <x v="6"/>
    <n v="93.98"/>
    <n v="6"/>
    <n v="0.2"/>
    <n v="56.063999999999993"/>
  </r>
  <r>
    <n v="195"/>
    <x v="194"/>
    <x v="0"/>
    <x v="56"/>
    <x v="1"/>
    <x v="1"/>
    <x v="1"/>
    <x v="12"/>
    <n v="189.88200000000001"/>
    <n v="2"/>
    <n v="0.3"/>
    <n v="107.77200000000001"/>
  </r>
  <r>
    <n v="196"/>
    <x v="195"/>
    <x v="0"/>
    <x v="57"/>
    <x v="24"/>
    <x v="3"/>
    <x v="1"/>
    <x v="6"/>
    <n v="105.42"/>
    <n v="1"/>
    <n v="0.2"/>
    <n v="4.8320000000000007"/>
  </r>
  <r>
    <n v="197"/>
    <x v="196"/>
    <x v="1"/>
    <x v="57"/>
    <x v="24"/>
    <x v="3"/>
    <x v="1"/>
    <x v="6"/>
    <n v="119.61600000000001"/>
    <n v="3"/>
    <n v="0.8"/>
    <n v="18.239999999999995"/>
  </r>
  <r>
    <n v="198"/>
    <x v="197"/>
    <x v="0"/>
    <x v="58"/>
    <x v="30"/>
    <x v="3"/>
    <x v="1"/>
    <x v="4"/>
    <n v="255.76"/>
    <n v="3"/>
    <n v="0.8"/>
    <n v="3.7979999999999992"/>
  </r>
  <r>
    <n v="199"/>
    <x v="198"/>
    <x v="2"/>
    <x v="10"/>
    <x v="9"/>
    <x v="3"/>
    <x v="1"/>
    <x v="8"/>
    <n v="241.56799999999998"/>
    <n v="2"/>
    <n v="0.2"/>
    <n v="10.368000000000002"/>
  </r>
  <r>
    <n v="200"/>
    <x v="199"/>
    <x v="3"/>
    <x v="10"/>
    <x v="9"/>
    <x v="3"/>
    <x v="1"/>
    <x v="10"/>
    <n v="69.3"/>
    <n v="2"/>
    <n v="0.4"/>
    <n v="235.18799999999999"/>
  </r>
  <r>
    <n v="201"/>
    <x v="200"/>
    <x v="0"/>
    <x v="59"/>
    <x v="24"/>
    <x v="3"/>
    <x v="1"/>
    <x v="10"/>
    <n v="22.620000000000005"/>
    <n v="4"/>
    <n v="0.4"/>
    <n v="26.376000000000001"/>
  </r>
  <r>
    <n v="202"/>
    <x v="201"/>
    <x v="4"/>
    <x v="60"/>
    <x v="22"/>
    <x v="1"/>
    <x v="0"/>
    <x v="3"/>
    <n v="14.952000000000004"/>
    <n v="2"/>
    <n v="0.2"/>
    <n v="10.384"/>
  </r>
  <r>
    <n v="203"/>
    <x v="202"/>
    <x v="5"/>
    <x v="60"/>
    <x v="22"/>
    <x v="1"/>
    <x v="1"/>
    <x v="9"/>
    <n v="801.5680000000001"/>
    <n v="3"/>
    <n v="0.4"/>
    <n v="107.11799999999999"/>
  </r>
  <r>
    <n v="204"/>
    <x v="203"/>
    <x v="6"/>
    <x v="61"/>
    <x v="5"/>
    <x v="2"/>
    <x v="1"/>
    <x v="9"/>
    <n v="2.3760000000000003"/>
    <n v="7"/>
    <n v="0"/>
    <n v="97.3"/>
  </r>
  <r>
    <n v="205"/>
    <x v="204"/>
    <x v="2"/>
    <x v="47"/>
    <x v="18"/>
    <x v="0"/>
    <x v="0"/>
    <x v="5"/>
    <n v="32.792000000000002"/>
    <n v="2"/>
    <n v="0.2"/>
    <n v="3.3280000000000003"/>
  </r>
  <r>
    <n v="206"/>
    <x v="205"/>
    <x v="0"/>
    <x v="62"/>
    <x v="1"/>
    <x v="1"/>
    <x v="2"/>
    <x v="7"/>
    <n v="15.920000000000002"/>
    <n v="1"/>
    <n v="0"/>
    <n v="135.99"/>
  </r>
  <r>
    <n v="207"/>
    <x v="206"/>
    <x v="7"/>
    <x v="63"/>
    <x v="12"/>
    <x v="2"/>
    <x v="1"/>
    <x v="4"/>
    <n v="2.74"/>
    <n v="1"/>
    <n v="0"/>
    <n v="7.38"/>
  </r>
  <r>
    <n v="208"/>
    <x v="207"/>
    <x v="2"/>
    <x v="63"/>
    <x v="12"/>
    <x v="2"/>
    <x v="2"/>
    <x v="7"/>
    <n v="8.34"/>
    <n v="2"/>
    <n v="0.2"/>
    <n v="45.568000000000005"/>
  </r>
  <r>
    <n v="209"/>
    <x v="208"/>
    <x v="1"/>
    <x v="63"/>
    <x v="12"/>
    <x v="2"/>
    <x v="1"/>
    <x v="8"/>
    <n v="46.74"/>
    <n v="8"/>
    <n v="0.7"/>
    <n v="28.752000000000006"/>
  </r>
  <r>
    <n v="210"/>
    <x v="209"/>
    <x v="0"/>
    <x v="63"/>
    <x v="12"/>
    <x v="2"/>
    <x v="1"/>
    <x v="13"/>
    <n v="6354.95"/>
    <n v="4"/>
    <n v="0.2"/>
    <n v="194.84800000000001"/>
  </r>
  <r>
    <n v="211"/>
    <x v="210"/>
    <x v="0"/>
    <x v="63"/>
    <x v="12"/>
    <x v="2"/>
    <x v="1"/>
    <x v="4"/>
    <n v="126.30000000000001"/>
    <n v="2"/>
    <n v="0.8"/>
    <n v="2.1119999999999997"/>
  </r>
  <r>
    <n v="212"/>
    <x v="211"/>
    <x v="1"/>
    <x v="61"/>
    <x v="5"/>
    <x v="2"/>
    <x v="2"/>
    <x v="11"/>
    <n v="38.04"/>
    <n v="5"/>
    <n v="0.2"/>
    <n v="25.920000000000005"/>
  </r>
  <r>
    <n v="213"/>
    <x v="212"/>
    <x v="0"/>
    <x v="64"/>
    <x v="24"/>
    <x v="3"/>
    <x v="1"/>
    <x v="2"/>
    <n v="7.1519999999999992"/>
    <n v="4"/>
    <n v="0.2"/>
    <n v="120.76800000000001"/>
  </r>
  <r>
    <n v="214"/>
    <x v="213"/>
    <x v="2"/>
    <x v="64"/>
    <x v="24"/>
    <x v="3"/>
    <x v="0"/>
    <x v="0"/>
    <n v="6.63"/>
    <n v="4"/>
    <n v="0"/>
    <n v="25.92"/>
  </r>
  <r>
    <n v="215"/>
    <x v="214"/>
    <x v="3"/>
    <x v="64"/>
    <x v="24"/>
    <x v="3"/>
    <x v="2"/>
    <x v="7"/>
    <n v="5.88"/>
    <n v="3"/>
    <n v="0"/>
    <n v="34.650000000000006"/>
  </r>
  <r>
    <n v="216"/>
    <x v="215"/>
    <x v="0"/>
    <x v="64"/>
    <x v="24"/>
    <x v="3"/>
    <x v="2"/>
    <x v="15"/>
    <n v="2999.95"/>
    <n v="5"/>
    <n v="0"/>
    <n v="204.95000000000002"/>
  </r>
  <r>
    <n v="217"/>
    <x v="216"/>
    <x v="4"/>
    <x v="64"/>
    <x v="24"/>
    <x v="3"/>
    <x v="2"/>
    <x v="11"/>
    <n v="51.449999999999996"/>
    <n v="5"/>
    <n v="0"/>
    <n v="79.95"/>
  </r>
  <r>
    <n v="218"/>
    <x v="217"/>
    <x v="5"/>
    <x v="1"/>
    <x v="1"/>
    <x v="1"/>
    <x v="1"/>
    <x v="4"/>
    <n v="11.96"/>
    <n v="7"/>
    <n v="0.2"/>
    <n v="173.48800000000003"/>
  </r>
  <r>
    <n v="219"/>
    <x v="218"/>
    <x v="6"/>
    <x v="1"/>
    <x v="1"/>
    <x v="1"/>
    <x v="2"/>
    <x v="7"/>
    <n v="1126.02"/>
    <n v="4"/>
    <n v="0.2"/>
    <n v="516.96"/>
  </r>
  <r>
    <n v="220"/>
    <x v="219"/>
    <x v="2"/>
    <x v="65"/>
    <x v="24"/>
    <x v="3"/>
    <x v="1"/>
    <x v="13"/>
    <n v="18.391999999999999"/>
    <n v="7"/>
    <n v="0.2"/>
    <n v="173.208"/>
  </r>
  <r>
    <n v="221"/>
    <x v="220"/>
    <x v="0"/>
    <x v="65"/>
    <x v="24"/>
    <x v="3"/>
    <x v="1"/>
    <x v="10"/>
    <n v="129.56800000000001"/>
    <n v="2"/>
    <n v="0.2"/>
    <n v="4.4479999999999995"/>
  </r>
  <r>
    <n v="222"/>
    <x v="221"/>
    <x v="7"/>
    <x v="65"/>
    <x v="24"/>
    <x v="3"/>
    <x v="1"/>
    <x v="8"/>
    <n v="14.111999999999997"/>
    <n v="3"/>
    <n v="0.2"/>
    <n v="9"/>
  </r>
  <r>
    <n v="223"/>
    <x v="222"/>
    <x v="2"/>
    <x v="65"/>
    <x v="24"/>
    <x v="3"/>
    <x v="0"/>
    <x v="5"/>
    <n v="210.98"/>
    <n v="10"/>
    <n v="0.2"/>
    <n v="42.24"/>
  </r>
  <r>
    <n v="224"/>
    <x v="223"/>
    <x v="1"/>
    <x v="65"/>
    <x v="24"/>
    <x v="3"/>
    <x v="2"/>
    <x v="15"/>
    <n v="55.176000000000002"/>
    <n v="2"/>
    <n v="0.7"/>
    <n v="18.264000000000003"/>
  </r>
  <r>
    <n v="225"/>
    <x v="224"/>
    <x v="0"/>
    <x v="65"/>
    <x v="24"/>
    <x v="3"/>
    <x v="1"/>
    <x v="6"/>
    <n v="66.260000000000005"/>
    <n v="3"/>
    <n v="0"/>
    <n v="152.91"/>
  </r>
  <r>
    <n v="226"/>
    <x v="225"/>
    <x v="0"/>
    <x v="66"/>
    <x v="12"/>
    <x v="2"/>
    <x v="1"/>
    <x v="6"/>
    <n v="22.200000000000003"/>
    <n v="3"/>
    <n v="0"/>
    <n v="92.94"/>
  </r>
  <r>
    <n v="227"/>
    <x v="226"/>
    <x v="1"/>
    <x v="66"/>
    <x v="12"/>
    <x v="2"/>
    <x v="0"/>
    <x v="3"/>
    <n v="683.95200000000011"/>
    <n v="4"/>
    <n v="0.2"/>
    <n v="17.856000000000002"/>
  </r>
  <r>
    <n v="228"/>
    <x v="227"/>
    <x v="0"/>
    <x v="66"/>
    <x v="12"/>
    <x v="2"/>
    <x v="1"/>
    <x v="4"/>
    <n v="45.695999999999998"/>
    <n v="3"/>
    <n v="0.2"/>
    <n v="46.440000000000005"/>
  </r>
  <r>
    <n v="229"/>
    <x v="228"/>
    <x v="2"/>
    <x v="29"/>
    <x v="18"/>
    <x v="0"/>
    <x v="0"/>
    <x v="1"/>
    <n v="36.336000000000006"/>
    <n v="4"/>
    <n v="0.2"/>
    <n v="195.136"/>
  </r>
  <r>
    <n v="230"/>
    <x v="229"/>
    <x v="3"/>
    <x v="29"/>
    <x v="18"/>
    <x v="0"/>
    <x v="0"/>
    <x v="1"/>
    <n v="666.24800000000005"/>
    <n v="2"/>
    <n v="0"/>
    <n v="129.30000000000001"/>
  </r>
  <r>
    <n v="231"/>
    <x v="230"/>
    <x v="0"/>
    <x v="35"/>
    <x v="3"/>
    <x v="0"/>
    <x v="1"/>
    <x v="8"/>
    <n v="52.512"/>
    <n v="3"/>
    <n v="0.2"/>
    <n v="11.568000000000001"/>
  </r>
  <r>
    <n v="232"/>
    <x v="231"/>
    <x v="4"/>
    <x v="67"/>
    <x v="2"/>
    <x v="0"/>
    <x v="0"/>
    <x v="3"/>
    <n v="190.72000000000003"/>
    <n v="3"/>
    <n v="0.2"/>
    <n v="242.35200000000003"/>
  </r>
  <r>
    <n v="233"/>
    <x v="232"/>
    <x v="5"/>
    <x v="67"/>
    <x v="2"/>
    <x v="0"/>
    <x v="0"/>
    <x v="3"/>
    <n v="47.94"/>
    <n v="4"/>
    <n v="0.2"/>
    <n v="319.96800000000002"/>
  </r>
  <r>
    <n v="234"/>
    <x v="233"/>
    <x v="6"/>
    <x v="67"/>
    <x v="2"/>
    <x v="0"/>
    <x v="1"/>
    <x v="8"/>
    <n v="979.95"/>
    <n v="7"/>
    <n v="0.6"/>
    <n v="8.6240000000000023"/>
  </r>
  <r>
    <n v="235"/>
    <x v="234"/>
    <x v="2"/>
    <x v="67"/>
    <x v="2"/>
    <x v="0"/>
    <x v="0"/>
    <x v="5"/>
    <n v="22.75"/>
    <n v="1"/>
    <n v="0.2"/>
    <n v="3.9840000000000004"/>
  </r>
  <r>
    <n v="236"/>
    <x v="235"/>
    <x v="0"/>
    <x v="67"/>
    <x v="2"/>
    <x v="0"/>
    <x v="2"/>
    <x v="11"/>
    <n v="16.768000000000001"/>
    <n v="7"/>
    <n v="0.2"/>
    <n v="895.94400000000019"/>
  </r>
  <r>
    <n v="237"/>
    <x v="236"/>
    <x v="7"/>
    <x v="68"/>
    <x v="1"/>
    <x v="1"/>
    <x v="1"/>
    <x v="10"/>
    <n v="42.615999999999993"/>
    <n v="4"/>
    <n v="0.6"/>
    <n v="14"/>
  </r>
  <r>
    <n v="238"/>
    <x v="237"/>
    <x v="2"/>
    <x v="22"/>
    <x v="10"/>
    <x v="2"/>
    <x v="1"/>
    <x v="10"/>
    <n v="10.752000000000001"/>
    <n v="2"/>
    <n v="0.8"/>
    <n v="16.391999999999996"/>
  </r>
  <r>
    <n v="239"/>
    <x v="238"/>
    <x v="1"/>
    <x v="22"/>
    <x v="10"/>
    <x v="2"/>
    <x v="0"/>
    <x v="5"/>
    <n v="152.94"/>
    <n v="5"/>
    <n v="0"/>
    <n v="10.9"/>
  </r>
  <r>
    <n v="240"/>
    <x v="239"/>
    <x v="0"/>
    <x v="22"/>
    <x v="10"/>
    <x v="2"/>
    <x v="0"/>
    <x v="5"/>
    <n v="283.92"/>
    <n v="2"/>
    <n v="0"/>
    <n v="29.6"/>
  </r>
  <r>
    <n v="241"/>
    <x v="240"/>
    <x v="0"/>
    <x v="22"/>
    <x v="10"/>
    <x v="2"/>
    <x v="2"/>
    <x v="7"/>
    <n v="468.90000000000003"/>
    <n v="1"/>
    <n v="0"/>
    <n v="4.9800000000000004"/>
  </r>
  <r>
    <n v="242"/>
    <x v="241"/>
    <x v="1"/>
    <x v="22"/>
    <x v="10"/>
    <x v="2"/>
    <x v="0"/>
    <x v="3"/>
    <n v="380.86400000000003"/>
    <n v="3"/>
    <n v="0.2"/>
    <n v="479.97600000000006"/>
  </r>
  <r>
    <n v="243"/>
    <x v="242"/>
    <x v="0"/>
    <x v="22"/>
    <x v="10"/>
    <x v="2"/>
    <x v="0"/>
    <x v="5"/>
    <n v="646.77600000000007"/>
    <n v="8"/>
    <n v="0.2"/>
    <n v="44.736000000000004"/>
  </r>
  <r>
    <n v="244"/>
    <x v="243"/>
    <x v="2"/>
    <x v="22"/>
    <x v="10"/>
    <x v="2"/>
    <x v="1"/>
    <x v="6"/>
    <n v="58.112000000000002"/>
    <n v="2"/>
    <n v="0"/>
    <n v="5.76"/>
  </r>
  <r>
    <n v="245"/>
    <x v="244"/>
    <x v="3"/>
    <x v="69"/>
    <x v="11"/>
    <x v="2"/>
    <x v="0"/>
    <x v="1"/>
    <n v="100.792"/>
    <n v="4"/>
    <n v="0.2"/>
    <n v="483.13599999999997"/>
  </r>
  <r>
    <n v="246"/>
    <x v="245"/>
    <x v="0"/>
    <x v="69"/>
    <x v="11"/>
    <x v="2"/>
    <x v="1"/>
    <x v="4"/>
    <n v="66.112000000000009"/>
    <n v="4"/>
    <n v="0.2"/>
    <n v="15.936000000000002"/>
  </r>
  <r>
    <n v="247"/>
    <x v="246"/>
    <x v="4"/>
    <x v="69"/>
    <x v="11"/>
    <x v="2"/>
    <x v="1"/>
    <x v="10"/>
    <n v="41.28"/>
    <n v="7"/>
    <n v="0.6"/>
    <n v="61.543999999999997"/>
  </r>
  <r>
    <n v="248"/>
    <x v="247"/>
    <x v="5"/>
    <x v="69"/>
    <x v="11"/>
    <x v="2"/>
    <x v="1"/>
    <x v="9"/>
    <n v="13.36"/>
    <n v="3"/>
    <n v="0.2"/>
    <n v="132.696"/>
  </r>
  <r>
    <n v="249"/>
    <x v="248"/>
    <x v="6"/>
    <x v="69"/>
    <x v="11"/>
    <x v="2"/>
    <x v="1"/>
    <x v="10"/>
    <n v="250.27199999999999"/>
    <n v="5"/>
    <n v="0"/>
    <n v="43.099999999999994"/>
  </r>
  <r>
    <n v="250"/>
    <x v="249"/>
    <x v="2"/>
    <x v="8"/>
    <x v="1"/>
    <x v="1"/>
    <x v="0"/>
    <x v="1"/>
    <n v="11.363999999999997"/>
    <n v="5"/>
    <n v="0"/>
    <n v="511.5"/>
  </r>
  <r>
    <n v="251"/>
    <x v="250"/>
    <x v="0"/>
    <x v="70"/>
    <x v="1"/>
    <x v="1"/>
    <x v="1"/>
    <x v="10"/>
    <n v="8.7200000000000006"/>
    <n v="5"/>
    <n v="0.2"/>
    <n v="147.91999999999999"/>
  </r>
  <r>
    <n v="252"/>
    <x v="251"/>
    <x v="7"/>
    <x v="70"/>
    <x v="1"/>
    <x v="1"/>
    <x v="2"/>
    <x v="11"/>
    <n v="1121.568"/>
    <n v="2"/>
    <n v="0"/>
    <n v="39.68"/>
  </r>
  <r>
    <n v="253"/>
    <x v="252"/>
    <x v="2"/>
    <x v="20"/>
    <x v="15"/>
    <x v="3"/>
    <x v="1"/>
    <x v="4"/>
    <n v="34.504000000000005"/>
    <n v="2"/>
    <n v="0"/>
    <n v="12.56"/>
  </r>
  <r>
    <n v="254"/>
    <x v="253"/>
    <x v="1"/>
    <x v="20"/>
    <x v="15"/>
    <x v="3"/>
    <x v="1"/>
    <x v="12"/>
    <n v="10.824"/>
    <n v="3"/>
    <n v="0.2"/>
    <n v="90.480000000000018"/>
  </r>
  <r>
    <n v="255"/>
    <x v="254"/>
    <x v="0"/>
    <x v="22"/>
    <x v="10"/>
    <x v="2"/>
    <x v="0"/>
    <x v="5"/>
    <n v="1295.78"/>
    <n v="2"/>
    <n v="0"/>
    <n v="13.08"/>
  </r>
  <r>
    <n v="256"/>
    <x v="255"/>
    <x v="0"/>
    <x v="22"/>
    <x v="10"/>
    <x v="2"/>
    <x v="1"/>
    <x v="4"/>
    <n v="19.456000000000003"/>
    <n v="5"/>
    <n v="0"/>
    <n v="214.7"/>
  </r>
  <r>
    <n v="257"/>
    <x v="256"/>
    <x v="1"/>
    <x v="22"/>
    <x v="10"/>
    <x v="2"/>
    <x v="1"/>
    <x v="4"/>
    <n v="20.7"/>
    <n v="4"/>
    <n v="0"/>
    <n v="50.32"/>
  </r>
  <r>
    <n v="258"/>
    <x v="257"/>
    <x v="0"/>
    <x v="22"/>
    <x v="10"/>
    <x v="2"/>
    <x v="2"/>
    <x v="7"/>
    <n v="1335.68"/>
    <n v="2"/>
    <n v="0"/>
    <n v="24.56"/>
  </r>
  <r>
    <n v="259"/>
    <x v="258"/>
    <x v="2"/>
    <x v="20"/>
    <x v="15"/>
    <x v="3"/>
    <x v="2"/>
    <x v="11"/>
    <n v="32.400000000000006"/>
    <n v="6"/>
    <n v="0"/>
    <n v="43.68"/>
  </r>
  <r>
    <n v="260"/>
    <x v="259"/>
    <x v="3"/>
    <x v="20"/>
    <x v="15"/>
    <x v="3"/>
    <x v="1"/>
    <x v="4"/>
    <n v="42.599999999999994"/>
    <n v="8"/>
    <n v="0"/>
    <n v="3393.68"/>
  </r>
  <r>
    <n v="261"/>
    <x v="260"/>
    <x v="0"/>
    <x v="20"/>
    <x v="15"/>
    <x v="3"/>
    <x v="1"/>
    <x v="8"/>
    <n v="84.056000000000012"/>
    <n v="5"/>
    <n v="0"/>
    <n v="67.400000000000006"/>
  </r>
  <r>
    <n v="262"/>
    <x v="261"/>
    <x v="4"/>
    <x v="45"/>
    <x v="5"/>
    <x v="2"/>
    <x v="1"/>
    <x v="9"/>
    <n v="13"/>
    <n v="2"/>
    <n v="0"/>
    <n v="2.52"/>
  </r>
  <r>
    <n v="263"/>
    <x v="262"/>
    <x v="5"/>
    <x v="12"/>
    <x v="5"/>
    <x v="2"/>
    <x v="2"/>
    <x v="15"/>
    <n v="13.128"/>
    <n v="4"/>
    <n v="0"/>
    <n v="67.8"/>
  </r>
  <r>
    <n v="264"/>
    <x v="263"/>
    <x v="6"/>
    <x v="12"/>
    <x v="5"/>
    <x v="2"/>
    <x v="2"/>
    <x v="15"/>
    <n v="3.96"/>
    <n v="2"/>
    <n v="0"/>
    <n v="18.760000000000002"/>
  </r>
  <r>
    <n v="265"/>
    <x v="264"/>
    <x v="2"/>
    <x v="22"/>
    <x v="10"/>
    <x v="2"/>
    <x v="2"/>
    <x v="7"/>
    <n v="2.61"/>
    <n v="4"/>
    <n v="0"/>
    <n v="12.12"/>
  </r>
  <r>
    <n v="266"/>
    <x v="265"/>
    <x v="0"/>
    <x v="71"/>
    <x v="1"/>
    <x v="1"/>
    <x v="2"/>
    <x v="11"/>
    <n v="374.37600000000003"/>
    <n v="1"/>
    <n v="0"/>
    <n v="11.34"/>
  </r>
  <r>
    <n v="267"/>
    <x v="266"/>
    <x v="7"/>
    <x v="72"/>
    <x v="3"/>
    <x v="0"/>
    <x v="1"/>
    <x v="6"/>
    <n v="91.84"/>
    <n v="4"/>
    <n v="0"/>
    <n v="159.80000000000001"/>
  </r>
  <r>
    <n v="268"/>
    <x v="267"/>
    <x v="2"/>
    <x v="73"/>
    <x v="30"/>
    <x v="3"/>
    <x v="1"/>
    <x v="13"/>
    <n v="81.088000000000008"/>
    <n v="2"/>
    <n v="0"/>
    <n v="18.96"/>
  </r>
  <r>
    <n v="269"/>
    <x v="268"/>
    <x v="1"/>
    <x v="74"/>
    <x v="24"/>
    <x v="3"/>
    <x v="1"/>
    <x v="4"/>
    <n v="19.440000000000001"/>
    <n v="7"/>
    <n v="0"/>
    <n v="1085.42"/>
  </r>
  <r>
    <n v="270"/>
    <x v="269"/>
    <x v="0"/>
    <x v="74"/>
    <x v="24"/>
    <x v="3"/>
    <x v="1"/>
    <x v="12"/>
    <n v="451.15199999999993"/>
    <n v="3"/>
    <n v="0"/>
    <n v="13.11"/>
  </r>
  <r>
    <n v="271"/>
    <x v="270"/>
    <x v="0"/>
    <x v="8"/>
    <x v="1"/>
    <x v="1"/>
    <x v="1"/>
    <x v="4"/>
    <n v="72.45"/>
    <n v="2"/>
    <n v="0.2"/>
    <n v="68.703999999999994"/>
  </r>
  <r>
    <n v="272"/>
    <x v="271"/>
    <x v="1"/>
    <x v="8"/>
    <x v="1"/>
    <x v="1"/>
    <x v="2"/>
    <x v="11"/>
    <n v="13.96"/>
    <n v="2"/>
    <n v="0.7"/>
    <n v="3.1320000000000001"/>
  </r>
  <r>
    <n v="273"/>
    <x v="272"/>
    <x v="0"/>
    <x v="8"/>
    <x v="1"/>
    <x v="1"/>
    <x v="0"/>
    <x v="5"/>
    <n v="33.264000000000003"/>
    <n v="3"/>
    <n v="0.7"/>
    <n v="22.428000000000004"/>
  </r>
  <r>
    <n v="274"/>
    <x v="273"/>
    <x v="2"/>
    <x v="8"/>
    <x v="1"/>
    <x v="1"/>
    <x v="1"/>
    <x v="8"/>
    <n v="14.850000000000001"/>
    <n v="2"/>
    <n v="0.2"/>
    <n v="290.33600000000001"/>
  </r>
  <r>
    <n v="275"/>
    <x v="274"/>
    <x v="3"/>
    <x v="75"/>
    <x v="1"/>
    <x v="1"/>
    <x v="1"/>
    <x v="10"/>
    <n v="8.82"/>
    <n v="2"/>
    <n v="0.2"/>
    <n v="19.152000000000001"/>
  </r>
  <r>
    <n v="276"/>
    <x v="275"/>
    <x v="0"/>
    <x v="75"/>
    <x v="1"/>
    <x v="1"/>
    <x v="1"/>
    <x v="6"/>
    <n v="160.72"/>
    <n v="1"/>
    <n v="0"/>
    <n v="6.48"/>
  </r>
  <r>
    <n v="277"/>
    <x v="276"/>
    <x v="4"/>
    <x v="10"/>
    <x v="9"/>
    <x v="3"/>
    <x v="1"/>
    <x v="10"/>
    <n v="19.920000000000002"/>
    <n v="2"/>
    <n v="0.2"/>
    <n v="63.967999999999996"/>
  </r>
  <r>
    <n v="278"/>
    <x v="277"/>
    <x v="5"/>
    <x v="10"/>
    <x v="9"/>
    <x v="3"/>
    <x v="1"/>
    <x v="10"/>
    <n v="7.3"/>
    <n v="2"/>
    <n v="0"/>
    <n v="6.36"/>
  </r>
  <r>
    <n v="279"/>
    <x v="278"/>
    <x v="6"/>
    <x v="10"/>
    <x v="9"/>
    <x v="3"/>
    <x v="1"/>
    <x v="4"/>
    <n v="69.712000000000003"/>
    <n v="4"/>
    <n v="0.2"/>
    <n v="848.5440000000001"/>
  </r>
  <r>
    <n v="280"/>
    <x v="279"/>
    <x v="2"/>
    <x v="10"/>
    <x v="9"/>
    <x v="3"/>
    <x v="1"/>
    <x v="2"/>
    <n v="8.7919999999999998"/>
    <n v="5"/>
    <n v="0.7"/>
    <n v="8.7000000000000011"/>
  </r>
  <r>
    <n v="281"/>
    <x v="280"/>
    <x v="0"/>
    <x v="12"/>
    <x v="5"/>
    <x v="2"/>
    <x v="1"/>
    <x v="8"/>
    <n v="51.52"/>
    <n v="3"/>
    <n v="0.4"/>
    <n v="122.38199999999999"/>
  </r>
  <r>
    <n v="282"/>
    <x v="281"/>
    <x v="7"/>
    <x v="12"/>
    <x v="5"/>
    <x v="2"/>
    <x v="2"/>
    <x v="7"/>
    <n v="470.37600000000009"/>
    <n v="7"/>
    <n v="0.1"/>
    <n v="573.17399999999998"/>
  </r>
  <r>
    <n v="283"/>
    <x v="282"/>
    <x v="2"/>
    <x v="1"/>
    <x v="1"/>
    <x v="1"/>
    <x v="0"/>
    <x v="3"/>
    <n v="105.584"/>
    <n v="3"/>
    <n v="0.2"/>
    <n v="85.055999999999997"/>
  </r>
  <r>
    <n v="284"/>
    <x v="283"/>
    <x v="1"/>
    <x v="32"/>
    <x v="21"/>
    <x v="1"/>
    <x v="1"/>
    <x v="10"/>
    <n v="31.152000000000001"/>
    <n v="3"/>
    <n v="0"/>
    <n v="14.04"/>
  </r>
  <r>
    <n v="285"/>
    <x v="284"/>
    <x v="0"/>
    <x v="32"/>
    <x v="21"/>
    <x v="1"/>
    <x v="2"/>
    <x v="11"/>
    <n v="6.7830000000000004"/>
    <n v="13"/>
    <n v="0"/>
    <n v="272.61"/>
  </r>
  <r>
    <n v="286"/>
    <x v="285"/>
    <x v="0"/>
    <x v="32"/>
    <x v="21"/>
    <x v="1"/>
    <x v="1"/>
    <x v="10"/>
    <n v="406.36799999999999"/>
    <n v="2"/>
    <n v="0"/>
    <n v="11.16"/>
  </r>
  <r>
    <n v="287"/>
    <x v="286"/>
    <x v="1"/>
    <x v="76"/>
    <x v="2"/>
    <x v="0"/>
    <x v="1"/>
    <x v="8"/>
    <n v="70.98"/>
    <n v="3"/>
    <n v="0"/>
    <n v="62.31"/>
  </r>
  <r>
    <n v="288"/>
    <x v="287"/>
    <x v="0"/>
    <x v="76"/>
    <x v="2"/>
    <x v="0"/>
    <x v="1"/>
    <x v="9"/>
    <n v="294.93"/>
    <n v="2"/>
    <n v="0"/>
    <n v="159.97999999999999"/>
  </r>
  <r>
    <n v="289"/>
    <x v="288"/>
    <x v="2"/>
    <x v="76"/>
    <x v="2"/>
    <x v="0"/>
    <x v="1"/>
    <x v="14"/>
    <n v="84.784000000000006"/>
    <n v="3"/>
    <n v="0"/>
    <n v="5.9399999999999995"/>
  </r>
  <r>
    <n v="290"/>
    <x v="289"/>
    <x v="3"/>
    <x v="38"/>
    <x v="24"/>
    <x v="3"/>
    <x v="1"/>
    <x v="13"/>
    <n v="20.736000000000004"/>
    <n v="2"/>
    <n v="0"/>
    <n v="9.9600000000000009"/>
  </r>
  <r>
    <n v="291"/>
    <x v="290"/>
    <x v="0"/>
    <x v="38"/>
    <x v="24"/>
    <x v="3"/>
    <x v="1"/>
    <x v="2"/>
    <n v="16.821000000000005"/>
    <n v="1"/>
    <n v="0"/>
    <n v="79.989999999999995"/>
  </r>
  <r>
    <n v="292"/>
    <x v="291"/>
    <x v="4"/>
    <x v="38"/>
    <x v="24"/>
    <x v="3"/>
    <x v="2"/>
    <x v="11"/>
    <n v="10.368000000000002"/>
    <n v="3"/>
    <n v="0"/>
    <n v="8.94"/>
  </r>
  <r>
    <n v="293"/>
    <x v="292"/>
    <x v="5"/>
    <x v="38"/>
    <x v="24"/>
    <x v="3"/>
    <x v="0"/>
    <x v="0"/>
    <n v="9.3439999999999994"/>
    <n v="2"/>
    <n v="0"/>
    <n v="20.62"/>
  </r>
  <r>
    <n v="294"/>
    <x v="293"/>
    <x v="6"/>
    <x v="77"/>
    <x v="22"/>
    <x v="1"/>
    <x v="0"/>
    <x v="5"/>
    <n v="31.200000000000003"/>
    <n v="7"/>
    <n v="0"/>
    <n v="124.25"/>
  </r>
  <r>
    <n v="295"/>
    <x v="294"/>
    <x v="2"/>
    <x v="77"/>
    <x v="22"/>
    <x v="1"/>
    <x v="0"/>
    <x v="1"/>
    <n v="76.12"/>
    <n v="5"/>
    <n v="0"/>
    <n v="297.55"/>
  </r>
  <r>
    <n v="296"/>
    <x v="295"/>
    <x v="0"/>
    <x v="77"/>
    <x v="22"/>
    <x v="1"/>
    <x v="0"/>
    <x v="5"/>
    <n v="1199.9760000000001"/>
    <n v="4"/>
    <n v="0"/>
    <n v="403.56"/>
  </r>
  <r>
    <n v="297"/>
    <x v="296"/>
    <x v="7"/>
    <x v="77"/>
    <x v="22"/>
    <x v="1"/>
    <x v="1"/>
    <x v="8"/>
    <n v="445.96000000000004"/>
    <n v="5"/>
    <n v="0"/>
    <n v="95.199999999999989"/>
  </r>
  <r>
    <n v="298"/>
    <x v="297"/>
    <x v="2"/>
    <x v="77"/>
    <x v="22"/>
    <x v="1"/>
    <x v="1"/>
    <x v="13"/>
    <n v="327.76"/>
    <n v="11"/>
    <n v="0.2"/>
    <n v="153.82400000000001"/>
  </r>
  <r>
    <n v="299"/>
    <x v="298"/>
    <x v="1"/>
    <x v="78"/>
    <x v="30"/>
    <x v="3"/>
    <x v="1"/>
    <x v="10"/>
    <n v="11.632"/>
    <n v="2"/>
    <n v="0.2"/>
    <n v="62.015999999999998"/>
  </r>
  <r>
    <n v="300"/>
    <x v="299"/>
    <x v="0"/>
    <x v="78"/>
    <x v="30"/>
    <x v="3"/>
    <x v="1"/>
    <x v="4"/>
    <n v="143.98199999999997"/>
    <n v="3"/>
    <n v="0.2"/>
    <n v="466.32000000000005"/>
  </r>
  <r>
    <n v="301"/>
    <x v="300"/>
    <x v="0"/>
    <x v="78"/>
    <x v="30"/>
    <x v="3"/>
    <x v="1"/>
    <x v="10"/>
    <n v="494.37599999999998"/>
    <n v="2"/>
    <n v="0.2"/>
    <n v="82.64"/>
  </r>
  <r>
    <n v="302"/>
    <x v="301"/>
    <x v="1"/>
    <x v="78"/>
    <x v="30"/>
    <x v="3"/>
    <x v="0"/>
    <x v="5"/>
    <n v="5.84"/>
    <n v="1"/>
    <n v="0.4"/>
    <n v="330.58800000000002"/>
  </r>
  <r>
    <n v="303"/>
    <x v="302"/>
    <x v="0"/>
    <x v="78"/>
    <x v="30"/>
    <x v="3"/>
    <x v="1"/>
    <x v="8"/>
    <n v="142.77600000000001"/>
    <n v="3"/>
    <n v="0.2"/>
    <n v="237.09600000000003"/>
  </r>
  <r>
    <n v="304"/>
    <x v="303"/>
    <x v="2"/>
    <x v="22"/>
    <x v="10"/>
    <x v="2"/>
    <x v="0"/>
    <x v="3"/>
    <n v="45.695999999999998"/>
    <n v="3"/>
    <n v="0.2"/>
    <n v="22.752000000000002"/>
  </r>
  <r>
    <n v="305"/>
    <x v="304"/>
    <x v="3"/>
    <x v="20"/>
    <x v="15"/>
    <x v="3"/>
    <x v="0"/>
    <x v="5"/>
    <n v="7.218"/>
    <n v="1"/>
    <n v="0.2"/>
    <n v="6.6720000000000006"/>
  </r>
  <r>
    <n v="306"/>
    <x v="305"/>
    <x v="0"/>
    <x v="79"/>
    <x v="12"/>
    <x v="2"/>
    <x v="1"/>
    <x v="6"/>
    <n v="43.188000000000009"/>
    <n v="3"/>
    <n v="0.6"/>
    <n v="25.128000000000004"/>
  </r>
  <r>
    <n v="307"/>
    <x v="306"/>
    <x v="4"/>
    <x v="80"/>
    <x v="30"/>
    <x v="3"/>
    <x v="1"/>
    <x v="8"/>
    <n v="131.904"/>
    <n v="2"/>
    <n v="0.2"/>
    <n v="127.98399999999999"/>
  </r>
  <r>
    <n v="308"/>
    <x v="307"/>
    <x v="5"/>
    <x v="80"/>
    <x v="30"/>
    <x v="3"/>
    <x v="1"/>
    <x v="6"/>
    <n v="3.2820000000000005"/>
    <n v="7"/>
    <n v="0"/>
    <n v="131.88"/>
  </r>
  <r>
    <n v="309"/>
    <x v="308"/>
    <x v="6"/>
    <x v="81"/>
    <x v="17"/>
    <x v="0"/>
    <x v="1"/>
    <x v="6"/>
    <n v="21.167999999999999"/>
    <n v="3"/>
    <n v="0.2"/>
    <n v="25.031999999999996"/>
  </r>
  <r>
    <n v="310"/>
    <x v="309"/>
    <x v="2"/>
    <x v="82"/>
    <x v="22"/>
    <x v="1"/>
    <x v="0"/>
    <x v="5"/>
    <n v="55.188000000000002"/>
    <n v="3"/>
    <n v="0.2"/>
    <n v="717.72"/>
  </r>
  <r>
    <n v="311"/>
    <x v="310"/>
    <x v="0"/>
    <x v="82"/>
    <x v="22"/>
    <x v="1"/>
    <x v="0"/>
    <x v="1"/>
    <n v="369.57600000000002"/>
    <n v="5"/>
    <n v="0"/>
    <n v="207.35"/>
  </r>
  <r>
    <n v="312"/>
    <x v="311"/>
    <x v="7"/>
    <x v="82"/>
    <x v="22"/>
    <x v="1"/>
    <x v="0"/>
    <x v="5"/>
    <n v="15.712000000000002"/>
    <n v="3"/>
    <n v="0"/>
    <n v="44.67"/>
  </r>
  <r>
    <n v="313"/>
    <x v="312"/>
    <x v="2"/>
    <x v="82"/>
    <x v="22"/>
    <x v="1"/>
    <x v="1"/>
    <x v="2"/>
    <n v="8.4480000000000004"/>
    <n v="2"/>
    <n v="0"/>
    <n v="209.7"/>
  </r>
  <r>
    <n v="314"/>
    <x v="313"/>
    <x v="1"/>
    <x v="83"/>
    <x v="30"/>
    <x v="3"/>
    <x v="0"/>
    <x v="5"/>
    <n v="728.94600000000003"/>
    <n v="7"/>
    <n v="0"/>
    <n v="115.36"/>
  </r>
  <r>
    <n v="315"/>
    <x v="314"/>
    <x v="0"/>
    <x v="84"/>
    <x v="2"/>
    <x v="0"/>
    <x v="2"/>
    <x v="7"/>
    <n v="119.93999999999998"/>
    <n v="3"/>
    <n v="0.2"/>
    <n v="362.13599999999997"/>
  </r>
  <r>
    <n v="316"/>
    <x v="315"/>
    <x v="0"/>
    <x v="84"/>
    <x v="2"/>
    <x v="0"/>
    <x v="1"/>
    <x v="10"/>
    <n v="3.6480000000000006"/>
    <n v="3"/>
    <n v="0"/>
    <n v="31.049999999999997"/>
  </r>
  <r>
    <n v="317"/>
    <x v="316"/>
    <x v="1"/>
    <x v="10"/>
    <x v="9"/>
    <x v="3"/>
    <x v="1"/>
    <x v="6"/>
    <n v="40.479999999999997"/>
    <n v="2"/>
    <n v="0"/>
    <n v="12.96"/>
  </r>
  <r>
    <n v="318"/>
    <x v="317"/>
    <x v="0"/>
    <x v="20"/>
    <x v="15"/>
    <x v="3"/>
    <x v="0"/>
    <x v="1"/>
    <n v="9.94"/>
    <n v="5"/>
    <n v="0"/>
    <n v="94.85"/>
  </r>
  <r>
    <n v="319"/>
    <x v="318"/>
    <x v="2"/>
    <x v="20"/>
    <x v="15"/>
    <x v="3"/>
    <x v="2"/>
    <x v="15"/>
    <n v="107.42400000000001"/>
    <n v="1"/>
    <n v="0"/>
    <n v="13.48"/>
  </r>
  <r>
    <n v="320"/>
    <x v="319"/>
    <x v="3"/>
    <x v="20"/>
    <x v="15"/>
    <x v="3"/>
    <x v="2"/>
    <x v="7"/>
    <n v="37.909999999999997"/>
    <n v="3"/>
    <n v="0"/>
    <n v="14.91"/>
  </r>
  <r>
    <n v="321"/>
    <x v="320"/>
    <x v="0"/>
    <x v="20"/>
    <x v="15"/>
    <x v="3"/>
    <x v="2"/>
    <x v="11"/>
    <n v="88.02"/>
    <n v="1"/>
    <n v="0"/>
    <n v="39.979999999999997"/>
  </r>
  <r>
    <n v="322"/>
    <x v="321"/>
    <x v="4"/>
    <x v="20"/>
    <x v="15"/>
    <x v="3"/>
    <x v="1"/>
    <x v="4"/>
    <n v="8.6899999999999977"/>
    <n v="5"/>
    <n v="0.3"/>
    <n v="528.42999999999995"/>
  </r>
  <r>
    <n v="323"/>
    <x v="322"/>
    <x v="5"/>
    <x v="85"/>
    <x v="1"/>
    <x v="1"/>
    <x v="1"/>
    <x v="13"/>
    <n v="301.95999999999998"/>
    <n v="7"/>
    <n v="0.8"/>
    <n v="22.385999999999996"/>
  </r>
  <r>
    <n v="324"/>
    <x v="323"/>
    <x v="6"/>
    <x v="86"/>
    <x v="1"/>
    <x v="1"/>
    <x v="1"/>
    <x v="8"/>
    <n v="555.21"/>
    <n v="3"/>
    <n v="0.7"/>
    <n v="5.7420000000000009"/>
  </r>
  <r>
    <n v="325"/>
    <x v="324"/>
    <x v="2"/>
    <x v="86"/>
    <x v="1"/>
    <x v="1"/>
    <x v="2"/>
    <x v="11"/>
    <n v="523.48"/>
    <n v="4"/>
    <n v="0.2"/>
    <n v="191.96800000000002"/>
  </r>
  <r>
    <n v="326"/>
    <x v="325"/>
    <x v="0"/>
    <x v="87"/>
    <x v="18"/>
    <x v="0"/>
    <x v="0"/>
    <x v="5"/>
    <n v="161.82"/>
    <n v="3"/>
    <n v="0.2"/>
    <n v="49.847999999999999"/>
  </r>
  <r>
    <n v="327"/>
    <x v="326"/>
    <x v="7"/>
    <x v="10"/>
    <x v="9"/>
    <x v="3"/>
    <x v="2"/>
    <x v="7"/>
    <n v="35.56"/>
    <n v="1"/>
    <n v="0"/>
    <n v="23.99"/>
  </r>
  <r>
    <n v="328"/>
    <x v="327"/>
    <x v="2"/>
    <x v="10"/>
    <x v="9"/>
    <x v="3"/>
    <x v="1"/>
    <x v="4"/>
    <n v="97.16"/>
    <n v="8"/>
    <n v="0.2"/>
    <n v="1087.9360000000001"/>
  </r>
  <r>
    <n v="329"/>
    <x v="328"/>
    <x v="1"/>
    <x v="10"/>
    <x v="9"/>
    <x v="3"/>
    <x v="0"/>
    <x v="1"/>
    <n v="15.24"/>
    <n v="2"/>
    <n v="0"/>
    <n v="199.98"/>
  </r>
  <r>
    <n v="330"/>
    <x v="329"/>
    <x v="0"/>
    <x v="10"/>
    <x v="9"/>
    <x v="3"/>
    <x v="1"/>
    <x v="2"/>
    <n v="13.23"/>
    <n v="4"/>
    <n v="0"/>
    <n v="83.92"/>
  </r>
  <r>
    <n v="331"/>
    <x v="330"/>
    <x v="0"/>
    <x v="10"/>
    <x v="9"/>
    <x v="3"/>
    <x v="1"/>
    <x v="8"/>
    <n v="243.38400000000001"/>
    <n v="3"/>
    <n v="0"/>
    <n v="24.27"/>
  </r>
  <r>
    <n v="332"/>
    <x v="331"/>
    <x v="1"/>
    <x v="10"/>
    <x v="9"/>
    <x v="3"/>
    <x v="2"/>
    <x v="7"/>
    <n v="119.80000000000001"/>
    <n v="5"/>
    <n v="0.2"/>
    <n v="2799.9600000000005"/>
  </r>
  <r>
    <n v="333"/>
    <x v="332"/>
    <x v="0"/>
    <x v="10"/>
    <x v="9"/>
    <x v="3"/>
    <x v="1"/>
    <x v="8"/>
    <n v="300.76799999999997"/>
    <n v="2"/>
    <n v="0.2"/>
    <n v="9.8719999999999999"/>
  </r>
  <r>
    <n v="334"/>
    <x v="333"/>
    <x v="2"/>
    <x v="10"/>
    <x v="9"/>
    <x v="3"/>
    <x v="1"/>
    <x v="8"/>
    <n v="17.880000000000003"/>
    <n v="4"/>
    <n v="0.15"/>
    <n v="683.33199999999999"/>
  </r>
  <r>
    <n v="335"/>
    <x v="334"/>
    <x v="3"/>
    <x v="1"/>
    <x v="1"/>
    <x v="1"/>
    <x v="1"/>
    <x v="8"/>
    <n v="235.94400000000002"/>
    <n v="7"/>
    <n v="0"/>
    <n v="29.96"/>
  </r>
  <r>
    <n v="336"/>
    <x v="335"/>
    <x v="0"/>
    <x v="1"/>
    <x v="1"/>
    <x v="1"/>
    <x v="2"/>
    <x v="16"/>
    <n v="392.93999999999994"/>
    <n v="3"/>
    <n v="0"/>
    <n v="164.85000000000002"/>
  </r>
  <r>
    <n v="337"/>
    <x v="336"/>
    <x v="4"/>
    <x v="1"/>
    <x v="1"/>
    <x v="1"/>
    <x v="1"/>
    <x v="8"/>
    <n v="18.882000000000005"/>
    <n v="3"/>
    <n v="0.2"/>
    <n v="33.528000000000006"/>
  </r>
  <r>
    <n v="338"/>
    <x v="337"/>
    <x v="5"/>
    <x v="8"/>
    <x v="1"/>
    <x v="1"/>
    <x v="1"/>
    <x v="8"/>
    <n v="122.328"/>
    <n v="3"/>
    <n v="0.2"/>
    <n v="36.744"/>
  </r>
  <r>
    <n v="339"/>
    <x v="338"/>
    <x v="6"/>
    <x v="8"/>
    <x v="1"/>
    <x v="1"/>
    <x v="0"/>
    <x v="3"/>
    <n v="1049.2"/>
    <n v="3"/>
    <n v="0"/>
    <n v="102.93"/>
  </r>
  <r>
    <n v="340"/>
    <x v="339"/>
    <x v="2"/>
    <x v="88"/>
    <x v="7"/>
    <x v="1"/>
    <x v="1"/>
    <x v="13"/>
    <n v="15.424000000000001"/>
    <n v="2"/>
    <n v="0.2"/>
    <n v="71.088000000000008"/>
  </r>
  <r>
    <n v="341"/>
    <x v="340"/>
    <x v="0"/>
    <x v="10"/>
    <x v="9"/>
    <x v="3"/>
    <x v="1"/>
    <x v="6"/>
    <n v="18.84"/>
    <n v="5"/>
    <n v="0"/>
    <n v="60.35"/>
  </r>
  <r>
    <n v="342"/>
    <x v="341"/>
    <x v="7"/>
    <x v="10"/>
    <x v="9"/>
    <x v="3"/>
    <x v="1"/>
    <x v="8"/>
    <n v="330.4"/>
    <n v="4"/>
    <n v="0"/>
    <n v="35.520000000000003"/>
  </r>
  <r>
    <n v="343"/>
    <x v="342"/>
    <x v="2"/>
    <x v="10"/>
    <x v="9"/>
    <x v="3"/>
    <x v="1"/>
    <x v="13"/>
    <n v="26.25"/>
    <n v="7"/>
    <n v="0"/>
    <n v="11.200000000000001"/>
  </r>
  <r>
    <n v="344"/>
    <x v="343"/>
    <x v="1"/>
    <x v="10"/>
    <x v="9"/>
    <x v="3"/>
    <x v="2"/>
    <x v="7"/>
    <n v="132.52000000000001"/>
    <n v="14"/>
    <n v="0"/>
    <n v="223.58"/>
  </r>
  <r>
    <n v="345"/>
    <x v="344"/>
    <x v="0"/>
    <x v="89"/>
    <x v="5"/>
    <x v="2"/>
    <x v="1"/>
    <x v="4"/>
    <n v="6.48"/>
    <n v="9"/>
    <n v="0"/>
    <n v="998.82"/>
  </r>
  <r>
    <n v="346"/>
    <x v="345"/>
    <x v="0"/>
    <x v="8"/>
    <x v="1"/>
    <x v="1"/>
    <x v="2"/>
    <x v="7"/>
    <n v="209.3"/>
    <n v="5"/>
    <n v="0"/>
    <n v="51.150000000000006"/>
  </r>
  <r>
    <n v="347"/>
    <x v="346"/>
    <x v="1"/>
    <x v="90"/>
    <x v="31"/>
    <x v="3"/>
    <x v="1"/>
    <x v="6"/>
    <n v="31.560000000000002"/>
    <n v="3"/>
    <n v="0"/>
    <n v="40.74"/>
  </r>
  <r>
    <n v="348"/>
    <x v="347"/>
    <x v="0"/>
    <x v="90"/>
    <x v="31"/>
    <x v="3"/>
    <x v="1"/>
    <x v="10"/>
    <n v="30.144000000000002"/>
    <n v="1"/>
    <n v="0.2"/>
    <n v="3.4240000000000004"/>
  </r>
  <r>
    <n v="349"/>
    <x v="348"/>
    <x v="2"/>
    <x v="90"/>
    <x v="31"/>
    <x v="3"/>
    <x v="1"/>
    <x v="6"/>
    <n v="14.8"/>
    <n v="3"/>
    <n v="0.2"/>
    <n v="151.20000000000002"/>
  </r>
  <r>
    <n v="350"/>
    <x v="349"/>
    <x v="3"/>
    <x v="20"/>
    <x v="15"/>
    <x v="3"/>
    <x v="2"/>
    <x v="11"/>
    <n v="302.37599999999998"/>
    <n v="6"/>
    <n v="0"/>
    <n v="1925.88"/>
  </r>
  <r>
    <n v="351"/>
    <x v="350"/>
    <x v="0"/>
    <x v="20"/>
    <x v="15"/>
    <x v="3"/>
    <x v="1"/>
    <x v="10"/>
    <n v="316"/>
    <n v="8"/>
    <n v="0"/>
    <n v="2405.1999999999998"/>
  </r>
  <r>
    <n v="352"/>
    <x v="351"/>
    <x v="4"/>
    <x v="20"/>
    <x v="15"/>
    <x v="3"/>
    <x v="1"/>
    <x v="8"/>
    <n v="379.4"/>
    <n v="3"/>
    <n v="0"/>
    <n v="83.97"/>
  </r>
  <r>
    <n v="353"/>
    <x v="352"/>
    <x v="5"/>
    <x v="20"/>
    <x v="15"/>
    <x v="3"/>
    <x v="1"/>
    <x v="10"/>
    <n v="97.82"/>
    <n v="1"/>
    <n v="0"/>
    <n v="39.89"/>
  </r>
  <r>
    <n v="354"/>
    <x v="353"/>
    <x v="6"/>
    <x v="20"/>
    <x v="15"/>
    <x v="3"/>
    <x v="1"/>
    <x v="8"/>
    <n v="103.12"/>
    <n v="2"/>
    <n v="0"/>
    <n v="17.38"/>
  </r>
  <r>
    <n v="355"/>
    <x v="354"/>
    <x v="2"/>
    <x v="20"/>
    <x v="15"/>
    <x v="3"/>
    <x v="0"/>
    <x v="0"/>
    <n v="113.55200000000001"/>
    <n v="2"/>
    <n v="0.2"/>
    <n v="55.264000000000003"/>
  </r>
  <r>
    <n v="356"/>
    <x v="355"/>
    <x v="0"/>
    <x v="20"/>
    <x v="15"/>
    <x v="3"/>
    <x v="1"/>
    <x v="12"/>
    <n v="3.3180000000000005"/>
    <n v="1"/>
    <n v="0"/>
    <n v="6.48"/>
  </r>
  <r>
    <n v="357"/>
    <x v="356"/>
    <x v="7"/>
    <x v="20"/>
    <x v="15"/>
    <x v="3"/>
    <x v="1"/>
    <x v="6"/>
    <n v="134.28800000000001"/>
    <n v="3"/>
    <n v="0.2"/>
    <n v="34.248000000000005"/>
  </r>
  <r>
    <n v="358"/>
    <x v="357"/>
    <x v="2"/>
    <x v="20"/>
    <x v="15"/>
    <x v="3"/>
    <x v="1"/>
    <x v="10"/>
    <n v="701.37199999999996"/>
    <n v="2"/>
    <n v="0.2"/>
    <n v="273.56799999999998"/>
  </r>
  <r>
    <n v="359"/>
    <x v="358"/>
    <x v="1"/>
    <x v="35"/>
    <x v="3"/>
    <x v="0"/>
    <x v="1"/>
    <x v="10"/>
    <n v="2.3079999999999994"/>
    <n v="5"/>
    <n v="0"/>
    <n v="46.349999999999994"/>
  </r>
  <r>
    <n v="360"/>
    <x v="359"/>
    <x v="0"/>
    <x v="38"/>
    <x v="32"/>
    <x v="0"/>
    <x v="1"/>
    <x v="9"/>
    <n v="999.43200000000002"/>
    <n v="4"/>
    <n v="0"/>
    <n v="223.92"/>
  </r>
  <r>
    <n v="361"/>
    <x v="360"/>
    <x v="0"/>
    <x v="38"/>
    <x v="32"/>
    <x v="0"/>
    <x v="1"/>
    <x v="2"/>
    <n v="724.08"/>
    <n v="2"/>
    <n v="0"/>
    <n v="7.3"/>
  </r>
  <r>
    <n v="362"/>
    <x v="361"/>
    <x v="1"/>
    <x v="20"/>
    <x v="15"/>
    <x v="3"/>
    <x v="1"/>
    <x v="2"/>
    <n v="918.78499999999985"/>
    <n v="2"/>
    <n v="0.2"/>
    <n v="9.3439999999999994"/>
  </r>
  <r>
    <n v="363"/>
    <x v="362"/>
    <x v="0"/>
    <x v="20"/>
    <x v="15"/>
    <x v="3"/>
    <x v="0"/>
    <x v="1"/>
    <n v="2.7239999999999993"/>
    <n v="1"/>
    <n v="0"/>
    <n v="18"/>
  </r>
  <r>
    <n v="364"/>
    <x v="363"/>
    <x v="2"/>
    <x v="20"/>
    <x v="15"/>
    <x v="3"/>
    <x v="1"/>
    <x v="6"/>
    <n v="459.95"/>
    <n v="2"/>
    <n v="0.2"/>
    <n v="65.584000000000003"/>
  </r>
  <r>
    <n v="365"/>
    <x v="364"/>
    <x v="3"/>
    <x v="20"/>
    <x v="15"/>
    <x v="3"/>
    <x v="0"/>
    <x v="5"/>
    <n v="10.74"/>
    <n v="4"/>
    <n v="0.32"/>
    <n v="383.46559999999994"/>
  </r>
  <r>
    <n v="366"/>
    <x v="365"/>
    <x v="0"/>
    <x v="8"/>
    <x v="1"/>
    <x v="1"/>
    <x v="1"/>
    <x v="4"/>
    <n v="23.76"/>
    <n v="2"/>
    <n v="0.2"/>
    <n v="10.368000000000002"/>
  </r>
  <r>
    <n v="367"/>
    <x v="366"/>
    <x v="4"/>
    <x v="91"/>
    <x v="29"/>
    <x v="3"/>
    <x v="1"/>
    <x v="8"/>
    <n v="85.055999999999997"/>
    <n v="1"/>
    <n v="0"/>
    <n v="13.4"/>
  </r>
  <r>
    <n v="368"/>
    <x v="367"/>
    <x v="5"/>
    <x v="91"/>
    <x v="29"/>
    <x v="3"/>
    <x v="1"/>
    <x v="14"/>
    <n v="381.57600000000002"/>
    <n v="1"/>
    <n v="0"/>
    <n v="4.9800000000000004"/>
  </r>
  <r>
    <n v="369"/>
    <x v="368"/>
    <x v="6"/>
    <x v="91"/>
    <x v="29"/>
    <x v="3"/>
    <x v="1"/>
    <x v="4"/>
    <n v="30.36"/>
    <n v="7"/>
    <n v="0"/>
    <n v="109.69"/>
  </r>
  <r>
    <n v="370"/>
    <x v="369"/>
    <x v="2"/>
    <x v="91"/>
    <x v="29"/>
    <x v="3"/>
    <x v="0"/>
    <x v="0"/>
    <n v="23.976000000000003"/>
    <n v="5"/>
    <n v="0"/>
    <n v="40.199999999999996"/>
  </r>
  <r>
    <n v="371"/>
    <x v="370"/>
    <x v="0"/>
    <x v="92"/>
    <x v="5"/>
    <x v="2"/>
    <x v="1"/>
    <x v="10"/>
    <n v="108.925"/>
    <n v="2"/>
    <n v="0"/>
    <n v="735.98"/>
  </r>
  <r>
    <n v="372"/>
    <x v="371"/>
    <x v="7"/>
    <x v="92"/>
    <x v="5"/>
    <x v="2"/>
    <x v="1"/>
    <x v="4"/>
    <n v="36.351999999999997"/>
    <n v="7"/>
    <n v="0"/>
    <n v="22.75"/>
  </r>
  <r>
    <n v="373"/>
    <x v="372"/>
    <x v="2"/>
    <x v="93"/>
    <x v="16"/>
    <x v="1"/>
    <x v="1"/>
    <x v="8"/>
    <n v="19.559999999999999"/>
    <n v="2"/>
    <n v="0"/>
    <n v="119.56"/>
  </r>
  <r>
    <n v="374"/>
    <x v="373"/>
    <x v="1"/>
    <x v="93"/>
    <x v="16"/>
    <x v="1"/>
    <x v="2"/>
    <x v="11"/>
    <n v="61.44"/>
    <n v="5"/>
    <n v="0"/>
    <n v="140.75"/>
  </r>
  <r>
    <n v="375"/>
    <x v="374"/>
    <x v="0"/>
    <x v="93"/>
    <x v="16"/>
    <x v="1"/>
    <x v="1"/>
    <x v="6"/>
    <n v="38.9"/>
    <n v="2"/>
    <n v="0.2"/>
    <n v="99.567999999999998"/>
  </r>
  <r>
    <n v="376"/>
    <x v="375"/>
    <x v="0"/>
    <x v="93"/>
    <x v="16"/>
    <x v="1"/>
    <x v="2"/>
    <x v="11"/>
    <n v="99.390000000000015"/>
    <n v="5"/>
    <n v="0.2"/>
    <n v="271.95999999999998"/>
  </r>
  <r>
    <n v="377"/>
    <x v="376"/>
    <x v="1"/>
    <x v="94"/>
    <x v="10"/>
    <x v="2"/>
    <x v="1"/>
    <x v="10"/>
    <n v="2.6879999999999997"/>
    <n v="7"/>
    <n v="0"/>
    <n v="18.689999999999998"/>
  </r>
  <r>
    <n v="378"/>
    <x v="377"/>
    <x v="0"/>
    <x v="47"/>
    <x v="31"/>
    <x v="3"/>
    <x v="0"/>
    <x v="3"/>
    <n v="27.816000000000003"/>
    <n v="2"/>
    <n v="0"/>
    <n v="13.36"/>
  </r>
  <r>
    <n v="379"/>
    <x v="378"/>
    <x v="2"/>
    <x v="12"/>
    <x v="5"/>
    <x v="2"/>
    <x v="1"/>
    <x v="9"/>
    <n v="82.524000000000001"/>
    <n v="2"/>
    <n v="0.2"/>
    <n v="249.58400000000003"/>
  </r>
  <r>
    <n v="380"/>
    <x v="379"/>
    <x v="3"/>
    <x v="12"/>
    <x v="5"/>
    <x v="2"/>
    <x v="1"/>
    <x v="4"/>
    <n v="182.99399999999997"/>
    <n v="7"/>
    <n v="0"/>
    <n v="13.86"/>
  </r>
  <r>
    <n v="381"/>
    <x v="380"/>
    <x v="0"/>
    <x v="12"/>
    <x v="5"/>
    <x v="2"/>
    <x v="1"/>
    <x v="8"/>
    <n v="14.352000000000002"/>
    <n v="4"/>
    <n v="0.2"/>
    <n v="13.375999999999999"/>
  </r>
  <r>
    <n v="382"/>
    <x v="381"/>
    <x v="4"/>
    <x v="8"/>
    <x v="1"/>
    <x v="1"/>
    <x v="1"/>
    <x v="10"/>
    <n v="64.959999999999994"/>
    <n v="14"/>
    <n v="0.2"/>
    <n v="437.47200000000009"/>
  </r>
  <r>
    <n v="383"/>
    <x v="382"/>
    <x v="5"/>
    <x v="8"/>
    <x v="1"/>
    <x v="1"/>
    <x v="1"/>
    <x v="8"/>
    <n v="68.599999999999994"/>
    <n v="1"/>
    <n v="0"/>
    <n v="85.98"/>
  </r>
  <r>
    <n v="384"/>
    <x v="383"/>
    <x v="6"/>
    <x v="79"/>
    <x v="12"/>
    <x v="2"/>
    <x v="2"/>
    <x v="11"/>
    <n v="7999.98"/>
    <n v="5"/>
    <n v="0.2"/>
    <n v="16.520000000000003"/>
  </r>
  <r>
    <n v="385"/>
    <x v="384"/>
    <x v="2"/>
    <x v="95"/>
    <x v="2"/>
    <x v="0"/>
    <x v="0"/>
    <x v="3"/>
    <n v="167.44000000000003"/>
    <n v="7"/>
    <n v="0"/>
    <n v="35.56"/>
  </r>
  <r>
    <n v="386"/>
    <x v="385"/>
    <x v="0"/>
    <x v="95"/>
    <x v="2"/>
    <x v="0"/>
    <x v="2"/>
    <x v="11"/>
    <n v="479.97"/>
    <n v="2"/>
    <n v="0"/>
    <n v="97.98"/>
  </r>
  <r>
    <n v="387"/>
    <x v="386"/>
    <x v="7"/>
    <x v="10"/>
    <x v="9"/>
    <x v="3"/>
    <x v="2"/>
    <x v="15"/>
    <n v="14.62"/>
    <n v="10"/>
    <n v="0"/>
    <n v="31.5"/>
  </r>
  <r>
    <n v="388"/>
    <x v="387"/>
    <x v="2"/>
    <x v="10"/>
    <x v="9"/>
    <x v="3"/>
    <x v="0"/>
    <x v="5"/>
    <n v="19.440000000000001"/>
    <n v="4"/>
    <n v="0"/>
    <n v="55.6"/>
  </r>
  <r>
    <n v="389"/>
    <x v="388"/>
    <x v="1"/>
    <x v="74"/>
    <x v="24"/>
    <x v="3"/>
    <x v="1"/>
    <x v="6"/>
    <n v="191.98400000000001"/>
    <n v="1"/>
    <n v="0"/>
    <n v="36.24"/>
  </r>
  <r>
    <n v="390"/>
    <x v="389"/>
    <x v="0"/>
    <x v="20"/>
    <x v="15"/>
    <x v="3"/>
    <x v="1"/>
    <x v="8"/>
    <n v="104.01"/>
    <n v="1"/>
    <n v="0"/>
    <n v="79.989999999999995"/>
  </r>
  <r>
    <n v="391"/>
    <x v="390"/>
    <x v="0"/>
    <x v="20"/>
    <x v="15"/>
    <x v="3"/>
    <x v="2"/>
    <x v="11"/>
    <n v="284.82"/>
    <n v="5"/>
    <n v="0"/>
    <n v="206.1"/>
  </r>
  <r>
    <n v="392"/>
    <x v="391"/>
    <x v="1"/>
    <x v="96"/>
    <x v="4"/>
    <x v="1"/>
    <x v="2"/>
    <x v="7"/>
    <n v="36.839999999999996"/>
    <n v="3"/>
    <n v="0.2"/>
    <n v="25.248000000000001"/>
  </r>
  <r>
    <n v="393"/>
    <x v="392"/>
    <x v="0"/>
    <x v="96"/>
    <x v="4"/>
    <x v="1"/>
    <x v="2"/>
    <x v="16"/>
    <n v="166.24"/>
    <n v="2"/>
    <n v="0"/>
    <n v="91.96"/>
  </r>
  <r>
    <n v="394"/>
    <x v="393"/>
    <x v="2"/>
    <x v="97"/>
    <x v="10"/>
    <x v="2"/>
    <x v="1"/>
    <x v="8"/>
    <n v="33.4"/>
    <n v="2"/>
    <n v="0.2"/>
    <n v="258.57600000000002"/>
  </r>
  <r>
    <n v="395"/>
    <x v="394"/>
    <x v="3"/>
    <x v="98"/>
    <x v="33"/>
    <x v="1"/>
    <x v="1"/>
    <x v="8"/>
    <n v="198.27200000000002"/>
    <n v="4"/>
    <n v="0"/>
    <n v="29.6"/>
  </r>
  <r>
    <n v="396"/>
    <x v="395"/>
    <x v="0"/>
    <x v="99"/>
    <x v="34"/>
    <x v="3"/>
    <x v="1"/>
    <x v="4"/>
    <n v="47.360000000000007"/>
    <n v="2"/>
    <n v="0"/>
    <n v="243.16"/>
  </r>
  <r>
    <n v="397"/>
    <x v="396"/>
    <x v="4"/>
    <x v="99"/>
    <x v="34"/>
    <x v="3"/>
    <x v="1"/>
    <x v="10"/>
    <n v="200.98400000000004"/>
    <n v="2"/>
    <n v="0"/>
    <n v="261.95999999999998"/>
  </r>
  <r>
    <n v="398"/>
    <x v="397"/>
    <x v="5"/>
    <x v="25"/>
    <x v="12"/>
    <x v="2"/>
    <x v="1"/>
    <x v="14"/>
    <n v="97.696000000000012"/>
    <n v="3"/>
    <n v="0"/>
    <n v="731.93999999999994"/>
  </r>
  <r>
    <n v="399"/>
    <x v="398"/>
    <x v="6"/>
    <x v="12"/>
    <x v="5"/>
    <x v="2"/>
    <x v="1"/>
    <x v="4"/>
    <n v="2.6960000000000002"/>
    <n v="2"/>
    <n v="0"/>
    <n v="14.62"/>
  </r>
  <r>
    <n v="400"/>
    <x v="399"/>
    <x v="2"/>
    <x v="12"/>
    <x v="5"/>
    <x v="2"/>
    <x v="0"/>
    <x v="0"/>
    <n v="18.588000000000005"/>
    <n v="5"/>
    <n v="0.45"/>
    <n v="957.577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45C32-91FF-48C1-BB5C-E2F50A998DB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7">
  <location ref="A3:J8" firstHeaderRow="1" firstDataRow="2" firstDataCol="1"/>
  <pivotFields count="12">
    <pivotField showAll="0"/>
    <pivotField showAll="0"/>
    <pivotField axis="axisCol" showAll="0">
      <items count="9">
        <item x="4"/>
        <item x="2"/>
        <item x="6"/>
        <item x="3"/>
        <item x="7"/>
        <item x="5"/>
        <item x="1"/>
        <item x="0"/>
        <item t="default"/>
      </items>
    </pivotField>
    <pivotField showAll="0">
      <items count="101">
        <item x="59"/>
        <item x="81"/>
        <item x="82"/>
        <item x="34"/>
        <item x="89"/>
        <item x="78"/>
        <item x="41"/>
        <item x="71"/>
        <item x="39"/>
        <item x="51"/>
        <item x="72"/>
        <item x="35"/>
        <item x="22"/>
        <item x="74"/>
        <item x="77"/>
        <item x="29"/>
        <item x="38"/>
        <item x="3"/>
        <item x="61"/>
        <item x="27"/>
        <item x="60"/>
        <item x="96"/>
        <item x="66"/>
        <item x="18"/>
        <item x="65"/>
        <item x="28"/>
        <item x="16"/>
        <item x="50"/>
        <item x="54"/>
        <item x="2"/>
        <item x="5"/>
        <item x="47"/>
        <item x="9"/>
        <item x="23"/>
        <item x="55"/>
        <item x="83"/>
        <item x="57"/>
        <item x="92"/>
        <item x="0"/>
        <item x="86"/>
        <item x="12"/>
        <item x="44"/>
        <item x="75"/>
        <item x="25"/>
        <item x="69"/>
        <item x="80"/>
        <item x="98"/>
        <item x="88"/>
        <item x="85"/>
        <item x="1"/>
        <item x="90"/>
        <item x="6"/>
        <item x="91"/>
        <item x="64"/>
        <item x="15"/>
        <item x="26"/>
        <item x="31"/>
        <item x="53"/>
        <item x="73"/>
        <item x="87"/>
        <item x="14"/>
        <item x="19"/>
        <item x="20"/>
        <item x="46"/>
        <item x="11"/>
        <item x="36"/>
        <item x="45"/>
        <item x="95"/>
        <item x="97"/>
        <item x="10"/>
        <item x="42"/>
        <item x="32"/>
        <item x="94"/>
        <item x="56"/>
        <item x="13"/>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6">
        <item x="19"/>
        <item x="16"/>
        <item x="1"/>
        <item x="22"/>
        <item x="29"/>
        <item x="13"/>
        <item x="2"/>
        <item x="32"/>
        <item x="10"/>
        <item x="14"/>
        <item x="23"/>
        <item x="0"/>
        <item x="28"/>
        <item x="31"/>
        <item x="12"/>
        <item x="11"/>
        <item x="25"/>
        <item x="8"/>
        <item x="33"/>
        <item x="30"/>
        <item x="27"/>
        <item x="15"/>
        <item x="3"/>
        <item x="24"/>
        <item x="26"/>
        <item x="21"/>
        <item x="9"/>
        <item x="34"/>
        <item x="20"/>
        <item x="18"/>
        <item x="5"/>
        <item x="7"/>
        <item x="17"/>
        <item x="4"/>
        <item x="6"/>
        <item t="default"/>
      </items>
    </pivotField>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6"/>
  </rowFields>
  <rowItems count="4">
    <i>
      <x/>
    </i>
    <i>
      <x v="1"/>
    </i>
    <i>
      <x v="2"/>
    </i>
    <i t="grand">
      <x/>
    </i>
  </rowItems>
  <colFields count="1">
    <field x="2"/>
  </colFields>
  <colItems count="9">
    <i>
      <x/>
    </i>
    <i>
      <x v="1"/>
    </i>
    <i>
      <x v="2"/>
    </i>
    <i>
      <x v="3"/>
    </i>
    <i>
      <x v="4"/>
    </i>
    <i>
      <x v="5"/>
    </i>
    <i>
      <x v="6"/>
    </i>
    <i>
      <x v="7"/>
    </i>
    <i t="grand">
      <x/>
    </i>
  </colItems>
  <dataFields count="1">
    <dataField name="Sum of Sales" fld="8" baseField="0" baseItem="0" numFmtId="2"/>
  </dataFields>
  <chartFormats count="16">
    <chartFormat chart="54" format="16" series="1">
      <pivotArea type="data" outline="0" fieldPosition="0">
        <references count="2">
          <reference field="4294967294" count="1" selected="0">
            <x v="0"/>
          </reference>
          <reference field="2" count="1" selected="0">
            <x v="0"/>
          </reference>
        </references>
      </pivotArea>
    </chartFormat>
    <chartFormat chart="54" format="17" series="1">
      <pivotArea type="data" outline="0" fieldPosition="0">
        <references count="2">
          <reference field="4294967294" count="1" selected="0">
            <x v="0"/>
          </reference>
          <reference field="2" count="1" selected="0">
            <x v="1"/>
          </reference>
        </references>
      </pivotArea>
    </chartFormat>
    <chartFormat chart="54" format="18" series="1">
      <pivotArea type="data" outline="0" fieldPosition="0">
        <references count="2">
          <reference field="4294967294" count="1" selected="0">
            <x v="0"/>
          </reference>
          <reference field="2" count="1" selected="0">
            <x v="2"/>
          </reference>
        </references>
      </pivotArea>
    </chartFormat>
    <chartFormat chart="54" format="19" series="1">
      <pivotArea type="data" outline="0" fieldPosition="0">
        <references count="2">
          <reference field="4294967294" count="1" selected="0">
            <x v="0"/>
          </reference>
          <reference field="2" count="1" selected="0">
            <x v="3"/>
          </reference>
        </references>
      </pivotArea>
    </chartFormat>
    <chartFormat chart="54" format="20" series="1">
      <pivotArea type="data" outline="0" fieldPosition="0">
        <references count="2">
          <reference field="4294967294" count="1" selected="0">
            <x v="0"/>
          </reference>
          <reference field="2" count="1" selected="0">
            <x v="4"/>
          </reference>
        </references>
      </pivotArea>
    </chartFormat>
    <chartFormat chart="54" format="21" series="1">
      <pivotArea type="data" outline="0" fieldPosition="0">
        <references count="2">
          <reference field="4294967294" count="1" selected="0">
            <x v="0"/>
          </reference>
          <reference field="2" count="1" selected="0">
            <x v="5"/>
          </reference>
        </references>
      </pivotArea>
    </chartFormat>
    <chartFormat chart="54" format="22" series="1">
      <pivotArea type="data" outline="0" fieldPosition="0">
        <references count="2">
          <reference field="4294967294" count="1" selected="0">
            <x v="0"/>
          </reference>
          <reference field="2" count="1" selected="0">
            <x v="6"/>
          </reference>
        </references>
      </pivotArea>
    </chartFormat>
    <chartFormat chart="54" format="23" series="1">
      <pivotArea type="data" outline="0" fieldPosition="0">
        <references count="2">
          <reference field="4294967294" count="1" selected="0">
            <x v="0"/>
          </reference>
          <reference field="2" count="1" selected="0">
            <x v="7"/>
          </reference>
        </references>
      </pivotArea>
    </chartFormat>
    <chartFormat chart="57" format="32" series="1">
      <pivotArea type="data" outline="0" fieldPosition="0">
        <references count="2">
          <reference field="4294967294" count="1" selected="0">
            <x v="0"/>
          </reference>
          <reference field="2" count="1" selected="0">
            <x v="0"/>
          </reference>
        </references>
      </pivotArea>
    </chartFormat>
    <chartFormat chart="57" format="33" series="1">
      <pivotArea type="data" outline="0" fieldPosition="0">
        <references count="2">
          <reference field="4294967294" count="1" selected="0">
            <x v="0"/>
          </reference>
          <reference field="2" count="1" selected="0">
            <x v="1"/>
          </reference>
        </references>
      </pivotArea>
    </chartFormat>
    <chartFormat chart="57" format="34" series="1">
      <pivotArea type="data" outline="0" fieldPosition="0">
        <references count="2">
          <reference field="4294967294" count="1" selected="0">
            <x v="0"/>
          </reference>
          <reference field="2" count="1" selected="0">
            <x v="2"/>
          </reference>
        </references>
      </pivotArea>
    </chartFormat>
    <chartFormat chart="57" format="35" series="1">
      <pivotArea type="data" outline="0" fieldPosition="0">
        <references count="2">
          <reference field="4294967294" count="1" selected="0">
            <x v="0"/>
          </reference>
          <reference field="2" count="1" selected="0">
            <x v="3"/>
          </reference>
        </references>
      </pivotArea>
    </chartFormat>
    <chartFormat chart="57" format="36" series="1">
      <pivotArea type="data" outline="0" fieldPosition="0">
        <references count="2">
          <reference field="4294967294" count="1" selected="0">
            <x v="0"/>
          </reference>
          <reference field="2" count="1" selected="0">
            <x v="4"/>
          </reference>
        </references>
      </pivotArea>
    </chartFormat>
    <chartFormat chart="57" format="37" series="1">
      <pivotArea type="data" outline="0" fieldPosition="0">
        <references count="2">
          <reference field="4294967294" count="1" selected="0">
            <x v="0"/>
          </reference>
          <reference field="2" count="1" selected="0">
            <x v="5"/>
          </reference>
        </references>
      </pivotArea>
    </chartFormat>
    <chartFormat chart="57" format="38" series="1">
      <pivotArea type="data" outline="0" fieldPosition="0">
        <references count="2">
          <reference field="4294967294" count="1" selected="0">
            <x v="0"/>
          </reference>
          <reference field="2" count="1" selected="0">
            <x v="6"/>
          </reference>
        </references>
      </pivotArea>
    </chartFormat>
    <chartFormat chart="57" format="39"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FD185-F707-486D-8525-6BBE2FB30F2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A3:C12" firstHeaderRow="0" firstDataRow="1" firstDataCol="1"/>
  <pivotFields count="12">
    <pivotField showAll="0"/>
    <pivotField showAll="0"/>
    <pivotField axis="axisRow" showAll="0">
      <items count="9">
        <item x="4"/>
        <item x="2"/>
        <item x="6"/>
        <item x="3"/>
        <item x="7"/>
        <item x="5"/>
        <item x="1"/>
        <item x="0"/>
        <item t="default"/>
      </items>
    </pivotField>
    <pivotField showAll="0"/>
    <pivotField showAll="0"/>
    <pivotField showAll="0"/>
    <pivotField showAll="0"/>
    <pivotField showAll="0"/>
    <pivotField dataField="1" showAll="0"/>
    <pivotField showAll="0"/>
    <pivotField showAll="0"/>
    <pivotField dataField="1" showAll="0"/>
  </pivotFields>
  <rowFields count="1">
    <field x="2"/>
  </rowFields>
  <rowItems count="9">
    <i>
      <x/>
    </i>
    <i>
      <x v="1"/>
    </i>
    <i>
      <x v="2"/>
    </i>
    <i>
      <x v="3"/>
    </i>
    <i>
      <x v="4"/>
    </i>
    <i>
      <x v="5"/>
    </i>
    <i>
      <x v="6"/>
    </i>
    <i>
      <x v="7"/>
    </i>
    <i t="grand">
      <x/>
    </i>
  </rowItems>
  <colFields count="1">
    <field x="-2"/>
  </colFields>
  <colItems count="2">
    <i>
      <x/>
    </i>
    <i i="1">
      <x v="1"/>
    </i>
  </colItems>
  <dataFields count="2">
    <dataField name="Sum of Sales" fld="8" showDataAs="percentOfCol" baseField="0" baseItem="0" numFmtId="9"/>
    <dataField name="Sum of Profit" fld="11" showDataAs="percentOfCol" baseField="0" baseItem="0" numFmtId="1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AE0E42-D710-4F20-B29D-8267C3D56B6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rowPageCount="1" colPageCount="1"/>
  <pivotFields count="12">
    <pivotField showAll="0"/>
    <pivotField showAll="0"/>
    <pivotField axis="axisPage" showAll="0">
      <items count="9">
        <item x="4"/>
        <item x="2"/>
        <item x="6"/>
        <item x="3"/>
        <item x="7"/>
        <item x="5"/>
        <item x="1"/>
        <item x="0"/>
        <item t="default"/>
      </items>
    </pivotField>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6"/>
  </rowFields>
  <rowItems count="4">
    <i>
      <x/>
    </i>
    <i>
      <x v="1"/>
    </i>
    <i>
      <x v="2"/>
    </i>
    <i t="grand">
      <x/>
    </i>
  </rowItems>
  <colItems count="1">
    <i/>
  </colItems>
  <pageFields count="1">
    <pageField fld="2" item="1" hier="-1"/>
  </pageFields>
  <dataFields count="1">
    <dataField name="Sum of Sales" fld="8" showDataAs="percentOfCol"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D30047-619E-4438-9C1C-1D59940F01A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4">
  <location ref="A3:C17" firstHeaderRow="0" firstDataRow="1" firstDataCol="1" rowPageCount="1" colPageCount="1"/>
  <pivotFields count="12">
    <pivotField showAll="0"/>
    <pivotField showAll="0"/>
    <pivotField axis="axisPage" multipleItemSelectionAllowed="1" showAll="0">
      <items count="9">
        <item x="4"/>
        <item h="1" x="2"/>
        <item h="1" x="6"/>
        <item h="1" x="3"/>
        <item x="7"/>
        <item x="5"/>
        <item h="1" x="1"/>
        <item h="1" x="0"/>
        <item t="default"/>
      </items>
    </pivotField>
    <pivotField showAll="0"/>
    <pivotField showAll="0"/>
    <pivotField axis="axisRow" showAll="0">
      <items count="5">
        <item x="2"/>
        <item h="1" x="3"/>
        <item h="1" x="0"/>
        <item h="1"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dataField="1" showAll="0"/>
    <pivotField showAll="0"/>
    <pivotField showAll="0"/>
  </pivotFields>
  <rowFields count="2">
    <field x="5"/>
    <field x="7"/>
  </rowFields>
  <rowItems count="14">
    <i>
      <x/>
    </i>
    <i r="1">
      <x/>
    </i>
    <i r="1">
      <x v="1"/>
    </i>
    <i r="1">
      <x v="2"/>
    </i>
    <i r="1">
      <x v="3"/>
    </i>
    <i r="1">
      <x v="5"/>
    </i>
    <i r="1">
      <x v="7"/>
    </i>
    <i r="1">
      <x v="9"/>
    </i>
    <i r="1">
      <x v="11"/>
    </i>
    <i r="1">
      <x v="12"/>
    </i>
    <i r="1">
      <x v="13"/>
    </i>
    <i r="1">
      <x v="14"/>
    </i>
    <i r="1">
      <x v="15"/>
    </i>
    <i t="grand">
      <x/>
    </i>
  </rowItems>
  <colFields count="1">
    <field x="-2"/>
  </colFields>
  <colItems count="2">
    <i>
      <x/>
    </i>
    <i i="1">
      <x v="1"/>
    </i>
  </colItems>
  <pageFields count="1">
    <pageField fld="2" hier="-1"/>
  </pageFields>
  <dataFields count="2">
    <dataField name="Sum of Sales" fld="8" showDataAs="percentOfCol" baseField="0" baseItem="0" numFmtId="10"/>
    <dataField name="Sum of Quantity" fld="9" baseField="0" baseItem="0"/>
  </dataFields>
  <chartFormats count="6">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854318-425B-43D6-A6CC-FC743A0195A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0">
  <location ref="A4:B17" firstHeaderRow="1" firstDataRow="1" firstDataCol="1" rowPageCount="2" colPageCount="1"/>
  <pivotFields count="12">
    <pivotField showAll="0"/>
    <pivotField showAll="0">
      <items count="401">
        <item x="395"/>
        <item x="205"/>
        <item x="144"/>
        <item x="387"/>
        <item x="199"/>
        <item x="57"/>
        <item x="124"/>
        <item x="117"/>
        <item x="127"/>
        <item x="328"/>
        <item x="8"/>
        <item x="155"/>
        <item x="87"/>
        <item x="351"/>
        <item x="153"/>
        <item x="141"/>
        <item x="392"/>
        <item x="4"/>
        <item x="122"/>
        <item x="132"/>
        <item x="306"/>
        <item x="347"/>
        <item x="315"/>
        <item x="165"/>
        <item x="365"/>
        <item x="274"/>
        <item x="233"/>
        <item x="391"/>
        <item x="151"/>
        <item x="238"/>
        <item x="278"/>
        <item x="195"/>
        <item x="235"/>
        <item x="121"/>
        <item x="367"/>
        <item x="310"/>
        <item x="311"/>
        <item x="374"/>
        <item x="162"/>
        <item x="321"/>
        <item x="327"/>
        <item x="78"/>
        <item x="130"/>
        <item x="350"/>
        <item x="349"/>
        <item x="375"/>
        <item x="333"/>
        <item x="376"/>
        <item x="341"/>
        <item x="379"/>
        <item x="399"/>
        <item x="297"/>
        <item x="212"/>
        <item x="179"/>
        <item x="355"/>
        <item x="364"/>
        <item x="29"/>
        <item x="230"/>
        <item x="3"/>
        <item x="94"/>
        <item x="211"/>
        <item x="339"/>
        <item x="194"/>
        <item x="309"/>
        <item x="257"/>
        <item x="170"/>
        <item x="90"/>
        <item x="359"/>
        <item x="260"/>
        <item x="79"/>
        <item x="335"/>
        <item x="271"/>
        <item x="325"/>
        <item x="119"/>
        <item x="284"/>
        <item x="331"/>
        <item x="37"/>
        <item x="316"/>
        <item x="394"/>
        <item x="388"/>
        <item x="0"/>
        <item x="118"/>
        <item x="142"/>
        <item x="52"/>
        <item x="225"/>
        <item x="128"/>
        <item x="113"/>
        <item x="384"/>
        <item x="281"/>
        <item x="51"/>
        <item x="361"/>
        <item x="206"/>
        <item x="112"/>
        <item x="24"/>
        <item x="247"/>
        <item x="1"/>
        <item x="72"/>
        <item x="54"/>
        <item x="285"/>
        <item x="106"/>
        <item x="83"/>
        <item x="103"/>
        <item x="158"/>
        <item x="266"/>
        <item x="294"/>
        <item x="111"/>
        <item x="371"/>
        <item x="283"/>
        <item x="234"/>
        <item x="157"/>
        <item x="377"/>
        <item x="108"/>
        <item x="137"/>
        <item x="272"/>
        <item x="61"/>
        <item x="114"/>
        <item x="140"/>
        <item x="252"/>
        <item x="276"/>
        <item x="35"/>
        <item x="182"/>
        <item x="229"/>
        <item x="45"/>
        <item x="12"/>
        <item x="372"/>
        <item x="383"/>
        <item x="210"/>
        <item x="13"/>
        <item x="75"/>
        <item x="201"/>
        <item x="105"/>
        <item x="332"/>
        <item x="191"/>
        <item x="20"/>
        <item x="279"/>
        <item x="323"/>
        <item x="357"/>
        <item x="263"/>
        <item x="135"/>
        <item x="370"/>
        <item x="322"/>
        <item x="293"/>
        <item x="86"/>
        <item x="385"/>
        <item x="259"/>
        <item x="92"/>
        <item x="255"/>
        <item x="213"/>
        <item x="220"/>
        <item x="39"/>
        <item x="47"/>
        <item x="16"/>
        <item x="289"/>
        <item x="241"/>
        <item x="136"/>
        <item x="55"/>
        <item x="227"/>
        <item x="253"/>
        <item x="150"/>
        <item x="313"/>
        <item x="366"/>
        <item x="6"/>
        <item x="326"/>
        <item x="258"/>
        <item x="262"/>
        <item x="96"/>
        <item x="66"/>
        <item x="368"/>
        <item x="373"/>
        <item x="31"/>
        <item x="218"/>
        <item x="5"/>
        <item x="161"/>
        <item x="307"/>
        <item x="320"/>
        <item x="49"/>
        <item x="25"/>
        <item x="123"/>
        <item x="237"/>
        <item x="203"/>
        <item x="80"/>
        <item x="286"/>
        <item x="188"/>
        <item x="145"/>
        <item x="187"/>
        <item x="82"/>
        <item x="40"/>
        <item x="32"/>
        <item x="302"/>
        <item x="189"/>
        <item x="265"/>
        <item x="139"/>
        <item x="63"/>
        <item x="101"/>
        <item x="102"/>
        <item x="185"/>
        <item x="239"/>
        <item x="98"/>
        <item x="324"/>
        <item x="148"/>
        <item x="36"/>
        <item x="68"/>
        <item x="273"/>
        <item x="30"/>
        <item x="41"/>
        <item x="44"/>
        <item x="292"/>
        <item x="287"/>
        <item x="147"/>
        <item x="340"/>
        <item x="369"/>
        <item x="168"/>
        <item x="396"/>
        <item x="110"/>
        <item x="126"/>
        <item x="336"/>
        <item x="10"/>
        <item x="33"/>
        <item x="251"/>
        <item x="175"/>
        <item x="107"/>
        <item x="217"/>
        <item x="169"/>
        <item x="120"/>
        <item x="27"/>
        <item x="156"/>
        <item x="223"/>
        <item x="97"/>
        <item x="48"/>
        <item x="62"/>
        <item x="23"/>
        <item x="244"/>
        <item x="18"/>
        <item x="60"/>
        <item x="338"/>
        <item x="298"/>
        <item x="95"/>
        <item x="109"/>
        <item x="166"/>
        <item x="264"/>
        <item x="245"/>
        <item x="270"/>
        <item x="93"/>
        <item x="389"/>
        <item x="198"/>
        <item x="386"/>
        <item x="256"/>
        <item x="219"/>
        <item x="381"/>
        <item x="88"/>
        <item x="89"/>
        <item x="348"/>
        <item x="15"/>
        <item x="301"/>
        <item x="393"/>
        <item x="330"/>
        <item x="67"/>
        <item x="221"/>
        <item x="343"/>
        <item x="378"/>
        <item x="77"/>
        <item x="390"/>
        <item x="186"/>
        <item x="318"/>
        <item x="207"/>
        <item x="149"/>
        <item x="337"/>
        <item x="172"/>
        <item x="99"/>
        <item x="200"/>
        <item x="240"/>
        <item x="344"/>
        <item x="192"/>
        <item x="177"/>
        <item x="160"/>
        <item x="295"/>
        <item x="152"/>
        <item x="329"/>
        <item x="173"/>
        <item x="159"/>
        <item x="134"/>
        <item x="342"/>
        <item x="71"/>
        <item x="202"/>
        <item x="380"/>
        <item x="305"/>
        <item x="228"/>
        <item x="125"/>
        <item x="353"/>
        <item x="352"/>
        <item x="246"/>
        <item x="73"/>
        <item x="299"/>
        <item x="21"/>
        <item x="362"/>
        <item x="43"/>
        <item x="346"/>
        <item x="138"/>
        <item x="22"/>
        <item x="204"/>
        <item x="38"/>
        <item x="308"/>
        <item x="28"/>
        <item x="250"/>
        <item x="50"/>
        <item x="7"/>
        <item x="171"/>
        <item x="58"/>
        <item x="178"/>
        <item x="277"/>
        <item x="216"/>
        <item x="282"/>
        <item x="181"/>
        <item x="291"/>
        <item x="243"/>
        <item x="312"/>
        <item x="46"/>
        <item x="214"/>
        <item x="208"/>
        <item x="84"/>
        <item x="42"/>
        <item x="269"/>
        <item x="197"/>
        <item x="176"/>
        <item x="303"/>
        <item x="116"/>
        <item x="167"/>
        <item x="319"/>
        <item x="232"/>
        <item x="19"/>
        <item x="76"/>
        <item x="154"/>
        <item x="53"/>
        <item x="64"/>
        <item x="85"/>
        <item x="275"/>
        <item x="354"/>
        <item x="397"/>
        <item x="11"/>
        <item x="65"/>
        <item x="183"/>
        <item x="222"/>
        <item x="164"/>
        <item x="224"/>
        <item x="290"/>
        <item x="231"/>
        <item x="249"/>
        <item x="115"/>
        <item x="261"/>
        <item x="226"/>
        <item x="2"/>
        <item x="129"/>
        <item x="280"/>
        <item x="174"/>
        <item x="81"/>
        <item x="196"/>
        <item x="345"/>
        <item x="70"/>
        <item x="254"/>
        <item x="304"/>
        <item x="17"/>
        <item x="56"/>
        <item x="34"/>
        <item x="363"/>
        <item x="193"/>
        <item x="296"/>
        <item x="133"/>
        <item x="358"/>
        <item x="356"/>
        <item x="143"/>
        <item x="69"/>
        <item x="184"/>
        <item x="26"/>
        <item x="74"/>
        <item x="215"/>
        <item x="209"/>
        <item x="131"/>
        <item x="268"/>
        <item x="236"/>
        <item x="382"/>
        <item x="317"/>
        <item x="398"/>
        <item x="14"/>
        <item x="242"/>
        <item x="314"/>
        <item x="180"/>
        <item x="59"/>
        <item x="267"/>
        <item x="360"/>
        <item x="104"/>
        <item x="91"/>
        <item x="248"/>
        <item x="163"/>
        <item x="146"/>
        <item x="288"/>
        <item x="100"/>
        <item x="334"/>
        <item x="300"/>
        <item x="190"/>
        <item x="9"/>
        <item t="default"/>
      </items>
    </pivotField>
    <pivotField axis="axisPage" showAll="0">
      <items count="9">
        <item x="4"/>
        <item x="2"/>
        <item x="6"/>
        <item x="3"/>
        <item x="7"/>
        <item x="5"/>
        <item x="1"/>
        <item x="0"/>
        <item t="default"/>
      </items>
    </pivotField>
    <pivotField showAll="0">
      <items count="101">
        <item x="59"/>
        <item x="81"/>
        <item x="82"/>
        <item x="34"/>
        <item x="89"/>
        <item x="78"/>
        <item x="41"/>
        <item x="71"/>
        <item x="39"/>
        <item x="51"/>
        <item x="72"/>
        <item x="35"/>
        <item x="22"/>
        <item x="74"/>
        <item x="77"/>
        <item x="29"/>
        <item x="38"/>
        <item x="3"/>
        <item x="61"/>
        <item x="27"/>
        <item x="60"/>
        <item x="96"/>
        <item x="66"/>
        <item x="18"/>
        <item x="65"/>
        <item x="28"/>
        <item x="16"/>
        <item x="50"/>
        <item x="54"/>
        <item x="2"/>
        <item x="5"/>
        <item x="47"/>
        <item x="9"/>
        <item x="23"/>
        <item x="55"/>
        <item x="83"/>
        <item x="57"/>
        <item x="92"/>
        <item x="0"/>
        <item x="86"/>
        <item x="12"/>
        <item x="44"/>
        <item x="75"/>
        <item x="25"/>
        <item x="69"/>
        <item x="80"/>
        <item x="98"/>
        <item x="88"/>
        <item x="85"/>
        <item x="1"/>
        <item x="90"/>
        <item x="6"/>
        <item x="91"/>
        <item x="64"/>
        <item x="15"/>
        <item x="26"/>
        <item x="31"/>
        <item x="53"/>
        <item x="73"/>
        <item x="87"/>
        <item x="14"/>
        <item x="19"/>
        <item x="20"/>
        <item x="46"/>
        <item x="11"/>
        <item x="36"/>
        <item x="45"/>
        <item x="95"/>
        <item x="97"/>
        <item x="10"/>
        <item x="42"/>
        <item x="32"/>
        <item x="94"/>
        <item x="56"/>
        <item x="13"/>
        <item x="30"/>
        <item x="43"/>
        <item x="63"/>
        <item x="33"/>
        <item x="84"/>
        <item x="52"/>
        <item x="70"/>
        <item x="8"/>
        <item x="49"/>
        <item x="68"/>
        <item x="48"/>
        <item x="4"/>
        <item x="24"/>
        <item x="76"/>
        <item x="67"/>
        <item x="79"/>
        <item x="21"/>
        <item x="93"/>
        <item x="37"/>
        <item x="99"/>
        <item x="7"/>
        <item x="58"/>
        <item x="17"/>
        <item x="62"/>
        <item x="40"/>
        <item t="default"/>
      </items>
    </pivotField>
    <pivotField axis="axisRow" showAll="0" sortType="ascending">
      <items count="36">
        <item sd="0" x="19"/>
        <item sd="0" x="16"/>
        <item sd="0" x="1"/>
        <item sd="0" x="22"/>
        <item sd="0" x="29"/>
        <item sd="0" x="13"/>
        <item sd="0" x="2"/>
        <item sd="0" x="32"/>
        <item sd="0" x="10"/>
        <item sd="0" x="14"/>
        <item sd="0" x="23"/>
        <item sd="0" x="0"/>
        <item sd="0" x="28"/>
        <item sd="0" x="31"/>
        <item sd="0" x="12"/>
        <item sd="0" x="11"/>
        <item sd="0" x="25"/>
        <item sd="0" x="8"/>
        <item sd="0" x="33"/>
        <item sd="0" x="30"/>
        <item sd="0" x="27"/>
        <item sd="0" x="15"/>
        <item sd="0" x="3"/>
        <item sd="0" x="24"/>
        <item sd="0" x="26"/>
        <item sd="0" x="21"/>
        <item sd="0" x="9"/>
        <item sd="0" x="34"/>
        <item sd="0" x="20"/>
        <item sd="0" x="18"/>
        <item sd="0" x="5"/>
        <item sd="0" x="7"/>
        <item sd="0" x="17"/>
        <item sd="0" x="4"/>
        <item sd="0" x="6"/>
        <item t="default" sd="0"/>
      </items>
    </pivotField>
    <pivotField showAll="0">
      <items count="5">
        <item x="2"/>
        <item x="3"/>
        <item x="0"/>
        <item x="1"/>
        <item t="default"/>
      </items>
    </pivotField>
    <pivotField axis="axisPage"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2">
    <field x="4"/>
    <field x="7"/>
  </rowFields>
  <rowItems count="13">
    <i>
      <x v="1"/>
    </i>
    <i>
      <x v="2"/>
    </i>
    <i>
      <x v="3"/>
    </i>
    <i>
      <x v="4"/>
    </i>
    <i>
      <x v="10"/>
    </i>
    <i>
      <x v="14"/>
    </i>
    <i>
      <x v="15"/>
    </i>
    <i>
      <x v="17"/>
    </i>
    <i>
      <x v="19"/>
    </i>
    <i>
      <x v="21"/>
    </i>
    <i>
      <x v="26"/>
    </i>
    <i>
      <x v="30"/>
    </i>
    <i t="grand">
      <x/>
    </i>
  </rowItems>
  <colItems count="1">
    <i/>
  </colItems>
  <pageFields count="2">
    <pageField fld="2" item="5" hier="-1"/>
    <pageField fld="6" item="1" hier="-1"/>
  </pageFields>
  <dataFields count="1">
    <dataField name="Sum of Sales" fld="8" baseField="0" baseItem="0" numFmtId="1"/>
  </dataFields>
  <chartFormats count="2">
    <chartFormat chart="46" format="2"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F67011-8033-45C1-AC96-F897EA921B7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A3:B12" firstHeaderRow="1" firstDataRow="1" firstDataCol="1"/>
  <pivotFields count="12">
    <pivotField showAll="0"/>
    <pivotField showAll="0"/>
    <pivotField axis="axisRow" showAll="0" sortType="descending">
      <items count="9">
        <item x="4"/>
        <item x="2"/>
        <item x="6"/>
        <item x="3"/>
        <item x="7"/>
        <item x="5"/>
        <item x="1"/>
        <item x="0"/>
        <item t="default"/>
      </items>
      <autoSortScope>
        <pivotArea dataOnly="0" outline="0" fieldPosition="0">
          <references count="1">
            <reference field="4294967294" count="1" selected="0">
              <x v="0"/>
            </reference>
          </references>
        </pivotArea>
      </autoSortScope>
    </pivotField>
    <pivotField showAll="0">
      <items count="101">
        <item x="59"/>
        <item x="81"/>
        <item x="82"/>
        <item x="34"/>
        <item x="89"/>
        <item x="78"/>
        <item x="41"/>
        <item x="71"/>
        <item x="39"/>
        <item x="51"/>
        <item x="72"/>
        <item x="35"/>
        <item x="22"/>
        <item x="74"/>
        <item x="77"/>
        <item x="29"/>
        <item x="38"/>
        <item x="3"/>
        <item x="61"/>
        <item x="27"/>
        <item x="60"/>
        <item x="96"/>
        <item x="66"/>
        <item x="18"/>
        <item x="65"/>
        <item x="28"/>
        <item x="16"/>
        <item x="50"/>
        <item x="54"/>
        <item x="2"/>
        <item x="5"/>
        <item x="47"/>
        <item x="9"/>
        <item x="23"/>
        <item x="55"/>
        <item x="83"/>
        <item x="57"/>
        <item x="92"/>
        <item x="0"/>
        <item x="86"/>
        <item x="12"/>
        <item x="44"/>
        <item x="75"/>
        <item x="25"/>
        <item x="69"/>
        <item x="80"/>
        <item x="98"/>
        <item x="88"/>
        <item x="85"/>
        <item x="1"/>
        <item x="90"/>
        <item x="6"/>
        <item x="91"/>
        <item x="64"/>
        <item x="15"/>
        <item x="26"/>
        <item x="31"/>
        <item x="53"/>
        <item x="73"/>
        <item x="87"/>
        <item x="14"/>
        <item x="19"/>
        <item x="20"/>
        <item x="46"/>
        <item x="11"/>
        <item x="36"/>
        <item x="45"/>
        <item x="95"/>
        <item x="97"/>
        <item x="10"/>
        <item x="42"/>
        <item x="32"/>
        <item x="94"/>
        <item x="56"/>
        <item x="13"/>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6">
        <item x="19"/>
        <item x="16"/>
        <item x="1"/>
        <item x="22"/>
        <item x="29"/>
        <item x="13"/>
        <item x="2"/>
        <item x="32"/>
        <item x="10"/>
        <item x="14"/>
        <item x="23"/>
        <item x="0"/>
        <item x="28"/>
        <item x="31"/>
        <item x="12"/>
        <item x="11"/>
        <item x="25"/>
        <item x="8"/>
        <item x="33"/>
        <item x="30"/>
        <item x="27"/>
        <item x="15"/>
        <item x="3"/>
        <item x="24"/>
        <item x="26"/>
        <item x="21"/>
        <item x="9"/>
        <item x="34"/>
        <item x="20"/>
        <item x="18"/>
        <item x="5"/>
        <item x="7"/>
        <item x="17"/>
        <item x="4"/>
        <item x="6"/>
        <item t="default"/>
      </items>
    </pivotField>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s>
  <rowFields count="1">
    <field x="2"/>
  </rowFields>
  <rowItems count="9">
    <i>
      <x v="7"/>
    </i>
    <i>
      <x v="1"/>
    </i>
    <i>
      <x v="4"/>
    </i>
    <i>
      <x v="3"/>
    </i>
    <i>
      <x v="6"/>
    </i>
    <i>
      <x v="2"/>
    </i>
    <i>
      <x/>
    </i>
    <i>
      <x v="5"/>
    </i>
    <i t="grand">
      <x/>
    </i>
  </rowItems>
  <colItems count="1">
    <i/>
  </colItems>
  <dataFields count="1">
    <dataField name="Sum of Profit" fld="11" baseField="2" baseItem="7"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7D15CA-9FBC-41E2-B633-080DCB73ADA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9">
  <location ref="A4:E15" firstHeaderRow="1" firstDataRow="2" firstDataCol="1" rowPageCount="1" colPageCount="1"/>
  <pivotFields count="12">
    <pivotField showAll="0"/>
    <pivotField showAll="0">
      <items count="401">
        <item x="395"/>
        <item x="205"/>
        <item x="144"/>
        <item x="387"/>
        <item x="199"/>
        <item x="57"/>
        <item x="124"/>
        <item x="117"/>
        <item x="127"/>
        <item x="328"/>
        <item x="8"/>
        <item x="155"/>
        <item x="87"/>
        <item x="351"/>
        <item x="153"/>
        <item x="141"/>
        <item x="392"/>
        <item x="4"/>
        <item x="122"/>
        <item x="132"/>
        <item x="306"/>
        <item x="347"/>
        <item x="315"/>
        <item x="165"/>
        <item x="365"/>
        <item x="274"/>
        <item x="233"/>
        <item x="391"/>
        <item x="151"/>
        <item x="238"/>
        <item x="278"/>
        <item x="195"/>
        <item x="235"/>
        <item x="121"/>
        <item x="367"/>
        <item x="310"/>
        <item x="311"/>
        <item x="374"/>
        <item x="162"/>
        <item x="321"/>
        <item x="327"/>
        <item x="78"/>
        <item x="130"/>
        <item x="350"/>
        <item x="349"/>
        <item x="375"/>
        <item x="333"/>
        <item x="376"/>
        <item x="341"/>
        <item x="379"/>
        <item x="399"/>
        <item x="297"/>
        <item x="212"/>
        <item x="179"/>
        <item x="355"/>
        <item x="364"/>
        <item x="29"/>
        <item x="230"/>
        <item x="3"/>
        <item x="94"/>
        <item x="211"/>
        <item x="339"/>
        <item x="194"/>
        <item x="309"/>
        <item x="257"/>
        <item x="170"/>
        <item x="90"/>
        <item x="359"/>
        <item x="260"/>
        <item x="79"/>
        <item x="335"/>
        <item x="271"/>
        <item x="325"/>
        <item x="119"/>
        <item x="284"/>
        <item x="331"/>
        <item x="37"/>
        <item x="316"/>
        <item x="394"/>
        <item x="388"/>
        <item x="0"/>
        <item x="118"/>
        <item x="142"/>
        <item x="52"/>
        <item x="225"/>
        <item x="128"/>
        <item x="113"/>
        <item x="384"/>
        <item x="281"/>
        <item x="51"/>
        <item x="361"/>
        <item x="206"/>
        <item x="112"/>
        <item x="24"/>
        <item x="247"/>
        <item x="1"/>
        <item x="72"/>
        <item x="54"/>
        <item x="285"/>
        <item x="106"/>
        <item x="83"/>
        <item x="103"/>
        <item x="158"/>
        <item x="266"/>
        <item x="294"/>
        <item x="111"/>
        <item x="371"/>
        <item x="283"/>
        <item x="234"/>
        <item x="157"/>
        <item x="377"/>
        <item x="108"/>
        <item x="137"/>
        <item x="272"/>
        <item x="61"/>
        <item x="114"/>
        <item x="140"/>
        <item x="252"/>
        <item x="276"/>
        <item x="35"/>
        <item x="182"/>
        <item x="229"/>
        <item x="45"/>
        <item x="12"/>
        <item x="372"/>
        <item x="383"/>
        <item x="210"/>
        <item x="13"/>
        <item x="75"/>
        <item x="201"/>
        <item x="105"/>
        <item x="332"/>
        <item x="191"/>
        <item x="20"/>
        <item x="279"/>
        <item x="323"/>
        <item x="357"/>
        <item x="263"/>
        <item x="135"/>
        <item x="370"/>
        <item x="322"/>
        <item x="293"/>
        <item x="86"/>
        <item x="385"/>
        <item x="259"/>
        <item x="92"/>
        <item x="255"/>
        <item x="213"/>
        <item x="220"/>
        <item x="39"/>
        <item x="47"/>
        <item x="16"/>
        <item x="289"/>
        <item x="241"/>
        <item x="136"/>
        <item x="55"/>
        <item x="227"/>
        <item x="253"/>
        <item x="150"/>
        <item x="313"/>
        <item x="366"/>
        <item x="6"/>
        <item x="326"/>
        <item x="258"/>
        <item x="262"/>
        <item x="96"/>
        <item x="66"/>
        <item x="368"/>
        <item x="373"/>
        <item x="31"/>
        <item x="218"/>
        <item x="5"/>
        <item x="161"/>
        <item x="307"/>
        <item x="320"/>
        <item x="49"/>
        <item x="25"/>
        <item x="123"/>
        <item x="237"/>
        <item x="203"/>
        <item x="80"/>
        <item x="286"/>
        <item x="188"/>
        <item x="145"/>
        <item x="187"/>
        <item x="82"/>
        <item x="40"/>
        <item x="32"/>
        <item x="302"/>
        <item x="189"/>
        <item x="265"/>
        <item x="139"/>
        <item x="63"/>
        <item x="101"/>
        <item x="102"/>
        <item x="185"/>
        <item x="239"/>
        <item x="98"/>
        <item x="324"/>
        <item x="148"/>
        <item x="36"/>
        <item x="68"/>
        <item x="273"/>
        <item x="30"/>
        <item x="41"/>
        <item x="44"/>
        <item x="292"/>
        <item x="287"/>
        <item x="147"/>
        <item x="340"/>
        <item x="369"/>
        <item x="168"/>
        <item x="396"/>
        <item x="110"/>
        <item x="126"/>
        <item x="336"/>
        <item x="10"/>
        <item x="33"/>
        <item x="251"/>
        <item x="175"/>
        <item x="107"/>
        <item x="217"/>
        <item x="169"/>
        <item x="120"/>
        <item x="27"/>
        <item x="156"/>
        <item x="223"/>
        <item x="97"/>
        <item x="48"/>
        <item x="62"/>
        <item x="23"/>
        <item x="244"/>
        <item x="18"/>
        <item x="60"/>
        <item x="338"/>
        <item x="298"/>
        <item x="95"/>
        <item x="109"/>
        <item x="166"/>
        <item x="264"/>
        <item x="245"/>
        <item x="270"/>
        <item x="93"/>
        <item x="389"/>
        <item x="198"/>
        <item x="386"/>
        <item x="256"/>
        <item x="219"/>
        <item x="381"/>
        <item x="88"/>
        <item x="89"/>
        <item x="348"/>
        <item x="15"/>
        <item x="301"/>
        <item x="393"/>
        <item x="330"/>
        <item x="67"/>
        <item x="221"/>
        <item x="343"/>
        <item x="378"/>
        <item x="77"/>
        <item x="390"/>
        <item x="186"/>
        <item x="318"/>
        <item x="207"/>
        <item x="149"/>
        <item x="337"/>
        <item x="172"/>
        <item x="99"/>
        <item x="200"/>
        <item x="240"/>
        <item x="344"/>
        <item x="192"/>
        <item x="177"/>
        <item x="160"/>
        <item x="295"/>
        <item x="152"/>
        <item x="329"/>
        <item x="173"/>
        <item x="159"/>
        <item x="134"/>
        <item x="342"/>
        <item x="71"/>
        <item x="202"/>
        <item x="380"/>
        <item x="305"/>
        <item x="228"/>
        <item x="125"/>
        <item x="353"/>
        <item x="352"/>
        <item x="246"/>
        <item x="73"/>
        <item x="299"/>
        <item x="21"/>
        <item x="362"/>
        <item x="43"/>
        <item x="346"/>
        <item x="138"/>
        <item x="22"/>
        <item x="204"/>
        <item x="38"/>
        <item x="308"/>
        <item x="28"/>
        <item x="250"/>
        <item x="50"/>
        <item x="7"/>
        <item x="171"/>
        <item x="58"/>
        <item x="178"/>
        <item x="277"/>
        <item x="216"/>
        <item x="282"/>
        <item x="181"/>
        <item x="291"/>
        <item x="243"/>
        <item x="312"/>
        <item x="46"/>
        <item x="214"/>
        <item x="208"/>
        <item x="84"/>
        <item x="42"/>
        <item x="269"/>
        <item x="197"/>
        <item x="176"/>
        <item x="303"/>
        <item x="116"/>
        <item x="167"/>
        <item x="319"/>
        <item x="232"/>
        <item x="19"/>
        <item x="76"/>
        <item x="154"/>
        <item x="53"/>
        <item x="64"/>
        <item x="85"/>
        <item x="275"/>
        <item x="354"/>
        <item x="397"/>
        <item x="11"/>
        <item x="65"/>
        <item x="183"/>
        <item x="222"/>
        <item x="164"/>
        <item x="224"/>
        <item x="290"/>
        <item x="231"/>
        <item x="249"/>
        <item x="115"/>
        <item x="261"/>
        <item x="226"/>
        <item x="2"/>
        <item x="129"/>
        <item x="280"/>
        <item x="174"/>
        <item x="81"/>
        <item x="196"/>
        <item x="345"/>
        <item x="70"/>
        <item x="254"/>
        <item x="304"/>
        <item x="17"/>
        <item x="56"/>
        <item x="34"/>
        <item x="363"/>
        <item x="193"/>
        <item x="296"/>
        <item x="133"/>
        <item x="358"/>
        <item x="356"/>
        <item x="143"/>
        <item x="69"/>
        <item x="184"/>
        <item x="26"/>
        <item x="74"/>
        <item x="215"/>
        <item x="209"/>
        <item x="131"/>
        <item x="268"/>
        <item x="236"/>
        <item x="382"/>
        <item x="317"/>
        <item x="398"/>
        <item x="14"/>
        <item x="242"/>
        <item x="314"/>
        <item x="180"/>
        <item x="59"/>
        <item x="267"/>
        <item x="360"/>
        <item x="104"/>
        <item x="91"/>
        <item x="248"/>
        <item x="163"/>
        <item x="146"/>
        <item x="288"/>
        <item x="100"/>
        <item x="334"/>
        <item x="300"/>
        <item x="190"/>
        <item x="9"/>
        <item t="default"/>
      </items>
    </pivotField>
    <pivotField axis="axisPage" showAll="0">
      <items count="9">
        <item x="4"/>
        <item x="2"/>
        <item x="6"/>
        <item x="3"/>
        <item x="7"/>
        <item x="5"/>
        <item x="1"/>
        <item x="0"/>
        <item t="default"/>
      </items>
    </pivotField>
    <pivotField showAll="0"/>
    <pivotField showAll="0">
      <items count="36">
        <item x="19"/>
        <item x="16"/>
        <item x="1"/>
        <item x="22"/>
        <item x="29"/>
        <item x="13"/>
        <item x="2"/>
        <item x="32"/>
        <item x="10"/>
        <item x="14"/>
        <item x="23"/>
        <item x="0"/>
        <item x="28"/>
        <item x="31"/>
        <item x="12"/>
        <item x="11"/>
        <item x="25"/>
        <item x="8"/>
        <item x="33"/>
        <item x="30"/>
        <item x="27"/>
        <item x="15"/>
        <item x="3"/>
        <item x="24"/>
        <item x="26"/>
        <item x="21"/>
        <item x="9"/>
        <item x="34"/>
        <item x="20"/>
        <item x="18"/>
        <item x="5"/>
        <item x="7"/>
        <item x="17"/>
        <item x="4"/>
        <item x="6"/>
        <item t="default"/>
      </items>
    </pivotField>
    <pivotField showAll="0"/>
    <pivotField axis="axisCol" multipleItemSelectionAllowed="1"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7"/>
  </rowFields>
  <rowItems count="10">
    <i>
      <x/>
    </i>
    <i>
      <x v="1"/>
    </i>
    <i>
      <x v="2"/>
    </i>
    <i>
      <x v="3"/>
    </i>
    <i>
      <x v="5"/>
    </i>
    <i>
      <x v="9"/>
    </i>
    <i>
      <x v="12"/>
    </i>
    <i>
      <x v="14"/>
    </i>
    <i>
      <x v="16"/>
    </i>
    <i t="grand">
      <x/>
    </i>
  </rowItems>
  <colFields count="1">
    <field x="6"/>
  </colFields>
  <colItems count="4">
    <i>
      <x/>
    </i>
    <i>
      <x v="1"/>
    </i>
    <i>
      <x v="2"/>
    </i>
    <i t="grand">
      <x/>
    </i>
  </colItems>
  <pageFields count="1">
    <pageField fld="2" item="0" hier="-1"/>
  </pageFields>
  <dataFields count="1">
    <dataField name="Sum of Sales" fld="8" baseField="0" baseItem="0" numFmtId="165"/>
  </dataFields>
  <chartFormats count="6">
    <chartFormat chart="24" format="0" series="1">
      <pivotArea type="data" outline="0" fieldPosition="0">
        <references count="2">
          <reference field="4294967294" count="1" selected="0">
            <x v="0"/>
          </reference>
          <reference field="6" count="1" selected="0">
            <x v="0"/>
          </reference>
        </references>
      </pivotArea>
    </chartFormat>
    <chartFormat chart="24" format="1" series="1">
      <pivotArea type="data" outline="0" fieldPosition="0">
        <references count="2">
          <reference field="4294967294" count="1" selected="0">
            <x v="0"/>
          </reference>
          <reference field="6" count="1" selected="0">
            <x v="1"/>
          </reference>
        </references>
      </pivotArea>
    </chartFormat>
    <chartFormat chart="24" format="2" series="1">
      <pivotArea type="data" outline="0" fieldPosition="0">
        <references count="2">
          <reference field="4294967294" count="1" selected="0">
            <x v="0"/>
          </reference>
          <reference field="6" count="1" selected="0">
            <x v="2"/>
          </reference>
        </references>
      </pivotArea>
    </chartFormat>
    <chartFormat chart="26" format="6" series="1">
      <pivotArea type="data" outline="0" fieldPosition="0">
        <references count="2">
          <reference field="4294967294" count="1" selected="0">
            <x v="0"/>
          </reference>
          <reference field="6" count="1" selected="0">
            <x v="0"/>
          </reference>
        </references>
      </pivotArea>
    </chartFormat>
    <chartFormat chart="26" format="7" series="1">
      <pivotArea type="data" outline="0" fieldPosition="0">
        <references count="2">
          <reference field="4294967294" count="1" selected="0">
            <x v="0"/>
          </reference>
          <reference field="6" count="1" selected="0">
            <x v="1"/>
          </reference>
        </references>
      </pivotArea>
    </chartFormat>
    <chartFormat chart="26"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4EFCA9-B507-418D-B0F9-7C434181315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3">
  <location ref="A3:B8" firstHeaderRow="1" firstDataRow="1" firstDataCol="1"/>
  <pivotFields count="12">
    <pivotField showAll="0"/>
    <pivotField showAll="0"/>
    <pivotField showAll="0"/>
    <pivotField showAll="0">
      <items count="101">
        <item x="59"/>
        <item x="81"/>
        <item x="82"/>
        <item x="34"/>
        <item x="89"/>
        <item x="78"/>
        <item x="41"/>
        <item x="71"/>
        <item x="39"/>
        <item x="51"/>
        <item x="72"/>
        <item x="35"/>
        <item x="22"/>
        <item x="74"/>
        <item x="77"/>
        <item x="29"/>
        <item x="38"/>
        <item x="3"/>
        <item x="61"/>
        <item x="27"/>
        <item x="60"/>
        <item x="96"/>
        <item x="66"/>
        <item x="18"/>
        <item x="65"/>
        <item x="28"/>
        <item x="16"/>
        <item x="50"/>
        <item x="54"/>
        <item x="2"/>
        <item x="5"/>
        <item x="47"/>
        <item x="9"/>
        <item x="23"/>
        <item x="55"/>
        <item x="83"/>
        <item x="57"/>
        <item x="92"/>
        <item x="0"/>
        <item x="86"/>
        <item x="12"/>
        <item x="44"/>
        <item x="75"/>
        <item x="25"/>
        <item x="69"/>
        <item x="80"/>
        <item x="98"/>
        <item x="88"/>
        <item x="85"/>
        <item x="1"/>
        <item x="90"/>
        <item x="6"/>
        <item x="91"/>
        <item x="64"/>
        <item x="15"/>
        <item x="26"/>
        <item x="31"/>
        <item x="53"/>
        <item x="73"/>
        <item x="87"/>
        <item x="14"/>
        <item x="19"/>
        <item x="20"/>
        <item x="46"/>
        <item x="11"/>
        <item x="36"/>
        <item x="45"/>
        <item x="95"/>
        <item x="97"/>
        <item x="10"/>
        <item x="42"/>
        <item x="32"/>
        <item x="94"/>
        <item x="56"/>
        <item x="13"/>
        <item x="30"/>
        <item x="43"/>
        <item x="63"/>
        <item x="33"/>
        <item x="84"/>
        <item x="52"/>
        <item x="70"/>
        <item x="8"/>
        <item x="49"/>
        <item x="68"/>
        <item x="48"/>
        <item x="4"/>
        <item x="24"/>
        <item x="76"/>
        <item x="67"/>
        <item x="79"/>
        <item x="21"/>
        <item x="93"/>
        <item x="37"/>
        <item x="99"/>
        <item x="7"/>
        <item x="58"/>
        <item x="17"/>
        <item x="62"/>
        <item x="40"/>
        <item t="default"/>
      </items>
    </pivotField>
    <pivotField showAll="0"/>
    <pivotField axis="axisRow" showAll="0">
      <items count="5">
        <item sd="0" x="2"/>
        <item sd="0" x="3"/>
        <item sd="0" x="0"/>
        <item sd="0" x="1"/>
        <item t="default" sd="0"/>
      </items>
    </pivotField>
    <pivotField axis="axisRow" showAll="0">
      <items count="4">
        <item x="0"/>
        <item x="1"/>
        <item x="2"/>
        <item t="default"/>
      </items>
    </pivotField>
    <pivotField showAll="0"/>
    <pivotField dataField="1" showAll="0"/>
    <pivotField showAll="0"/>
    <pivotField showAll="0"/>
    <pivotField showAll="0"/>
  </pivotFields>
  <rowFields count="2">
    <field x="5"/>
    <field x="6"/>
  </rowFields>
  <rowItems count="5">
    <i>
      <x/>
    </i>
    <i>
      <x v="1"/>
    </i>
    <i>
      <x v="2"/>
    </i>
    <i>
      <x v="3"/>
    </i>
    <i t="grand">
      <x/>
    </i>
  </rowItems>
  <colItems count="1">
    <i/>
  </colItems>
  <dataFields count="1">
    <dataField name="Sum of Sales" fld="8" showDataAs="percentOfCol" baseField="0" baseItem="0" numFmtId="10"/>
  </dataFields>
  <chartFormats count="10">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5" count="1" selected="0">
            <x v="0"/>
          </reference>
        </references>
      </pivotArea>
    </chartFormat>
    <chartFormat chart="9" format="18">
      <pivotArea type="data" outline="0" fieldPosition="0">
        <references count="2">
          <reference field="4294967294" count="1" selected="0">
            <x v="0"/>
          </reference>
          <reference field="5" count="1" selected="0">
            <x v="1"/>
          </reference>
        </references>
      </pivotArea>
    </chartFormat>
    <chartFormat chart="9" format="19">
      <pivotArea type="data" outline="0" fieldPosition="0">
        <references count="2">
          <reference field="4294967294" count="1" selected="0">
            <x v="0"/>
          </reference>
          <reference field="5" count="1" selected="0">
            <x v="2"/>
          </reference>
        </references>
      </pivotArea>
    </chartFormat>
    <chartFormat chart="9"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A5D27A-FD6D-4656-8876-2B92AD727F7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7">
  <location ref="A3:C8" firstHeaderRow="0" firstDataRow="1" firstDataCol="1" rowPageCount="1" colPageCount="1"/>
  <pivotFields count="12">
    <pivotField showAll="0"/>
    <pivotField showAll="0"/>
    <pivotField axis="axisPage" showAll="0">
      <items count="9">
        <item x="4"/>
        <item x="2"/>
        <item x="6"/>
        <item x="3"/>
        <item x="7"/>
        <item x="5"/>
        <item x="1"/>
        <item x="0"/>
        <item t="default"/>
      </items>
    </pivotField>
    <pivotField showAll="0"/>
    <pivotField showAll="0"/>
    <pivotField axis="axisRow" showAll="0">
      <items count="5">
        <item x="2"/>
        <item x="3"/>
        <item x="0"/>
        <item x="1"/>
        <item t="default"/>
      </items>
    </pivotField>
    <pivotField showAll="0"/>
    <pivotField showAll="0"/>
    <pivotField dataField="1" showAll="0"/>
    <pivotField showAll="0"/>
    <pivotField showAll="0"/>
    <pivotField dataField="1" showAll="0"/>
  </pivotFields>
  <rowFields count="1">
    <field x="5"/>
  </rowFields>
  <rowItems count="5">
    <i>
      <x/>
    </i>
    <i>
      <x v="1"/>
    </i>
    <i>
      <x v="2"/>
    </i>
    <i>
      <x v="3"/>
    </i>
    <i t="grand">
      <x/>
    </i>
  </rowItems>
  <colFields count="1">
    <field x="-2"/>
  </colFields>
  <colItems count="2">
    <i>
      <x/>
    </i>
    <i i="1">
      <x v="1"/>
    </i>
  </colItems>
  <pageFields count="1">
    <pageField fld="2" item="6" hier="-1"/>
  </pageFields>
  <dataFields count="2">
    <dataField name="Sum of Sales" fld="8" baseField="0" baseItem="0"/>
    <dataField name="Sum of Profit" fld="11" baseField="0" baseItem="0" numFmtId="1"/>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253003-C022-487E-9DB3-F4829883B58B}"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1">
  <location ref="A3:B12" firstHeaderRow="1" firstDataRow="1" firstDataCol="1"/>
  <pivotFields count="12">
    <pivotField showAll="0"/>
    <pivotField showAll="0">
      <items count="401">
        <item x="395"/>
        <item x="205"/>
        <item x="144"/>
        <item x="387"/>
        <item x="199"/>
        <item x="57"/>
        <item x="124"/>
        <item x="117"/>
        <item x="127"/>
        <item x="328"/>
        <item x="8"/>
        <item x="155"/>
        <item x="87"/>
        <item x="351"/>
        <item x="153"/>
        <item x="141"/>
        <item x="392"/>
        <item x="4"/>
        <item x="122"/>
        <item x="132"/>
        <item x="306"/>
        <item x="347"/>
        <item x="315"/>
        <item x="165"/>
        <item x="365"/>
        <item x="274"/>
        <item x="233"/>
        <item x="391"/>
        <item x="151"/>
        <item x="238"/>
        <item x="278"/>
        <item x="195"/>
        <item x="235"/>
        <item x="121"/>
        <item x="367"/>
        <item x="310"/>
        <item x="311"/>
        <item x="374"/>
        <item x="162"/>
        <item x="321"/>
        <item x="327"/>
        <item x="78"/>
        <item x="130"/>
        <item x="350"/>
        <item x="349"/>
        <item x="375"/>
        <item x="333"/>
        <item x="376"/>
        <item x="341"/>
        <item x="379"/>
        <item x="399"/>
        <item x="297"/>
        <item x="212"/>
        <item x="179"/>
        <item x="355"/>
        <item x="364"/>
        <item x="29"/>
        <item x="230"/>
        <item x="3"/>
        <item x="94"/>
        <item x="211"/>
        <item x="339"/>
        <item x="194"/>
        <item x="309"/>
        <item x="257"/>
        <item x="170"/>
        <item x="90"/>
        <item x="359"/>
        <item x="260"/>
        <item x="79"/>
        <item x="335"/>
        <item x="271"/>
        <item x="325"/>
        <item x="119"/>
        <item x="284"/>
        <item x="331"/>
        <item x="37"/>
        <item x="316"/>
        <item x="394"/>
        <item x="388"/>
        <item x="0"/>
        <item x="118"/>
        <item x="142"/>
        <item x="52"/>
        <item x="225"/>
        <item x="128"/>
        <item x="113"/>
        <item x="384"/>
        <item x="281"/>
        <item x="51"/>
        <item x="361"/>
        <item x="206"/>
        <item x="112"/>
        <item x="24"/>
        <item x="247"/>
        <item x="1"/>
        <item x="72"/>
        <item x="54"/>
        <item x="285"/>
        <item x="106"/>
        <item x="83"/>
        <item x="103"/>
        <item x="158"/>
        <item x="266"/>
        <item x="294"/>
        <item x="111"/>
        <item x="371"/>
        <item x="283"/>
        <item x="234"/>
        <item x="157"/>
        <item x="377"/>
        <item x="108"/>
        <item x="137"/>
        <item x="272"/>
        <item x="61"/>
        <item x="114"/>
        <item x="140"/>
        <item x="252"/>
        <item x="276"/>
        <item x="35"/>
        <item x="182"/>
        <item x="229"/>
        <item x="45"/>
        <item x="12"/>
        <item x="372"/>
        <item x="383"/>
        <item x="210"/>
        <item x="13"/>
        <item x="75"/>
        <item x="201"/>
        <item x="105"/>
        <item x="332"/>
        <item x="191"/>
        <item x="20"/>
        <item x="279"/>
        <item x="323"/>
        <item x="357"/>
        <item x="263"/>
        <item x="135"/>
        <item x="370"/>
        <item x="322"/>
        <item x="293"/>
        <item x="86"/>
        <item x="385"/>
        <item x="259"/>
        <item x="92"/>
        <item x="255"/>
        <item x="213"/>
        <item x="220"/>
        <item x="39"/>
        <item x="47"/>
        <item x="16"/>
        <item x="289"/>
        <item x="241"/>
        <item x="136"/>
        <item x="55"/>
        <item x="227"/>
        <item x="253"/>
        <item x="150"/>
        <item x="313"/>
        <item x="366"/>
        <item x="6"/>
        <item x="326"/>
        <item x="258"/>
        <item x="262"/>
        <item x="96"/>
        <item x="66"/>
        <item x="368"/>
        <item x="373"/>
        <item x="31"/>
        <item x="218"/>
        <item x="5"/>
        <item x="161"/>
        <item x="307"/>
        <item x="320"/>
        <item x="49"/>
        <item x="25"/>
        <item x="123"/>
        <item x="237"/>
        <item x="203"/>
        <item x="80"/>
        <item x="286"/>
        <item x="188"/>
        <item x="145"/>
        <item x="187"/>
        <item x="82"/>
        <item x="40"/>
        <item x="32"/>
        <item x="302"/>
        <item x="189"/>
        <item x="265"/>
        <item x="139"/>
        <item x="63"/>
        <item x="101"/>
        <item x="102"/>
        <item x="185"/>
        <item x="239"/>
        <item x="98"/>
        <item x="324"/>
        <item x="148"/>
        <item x="36"/>
        <item x="68"/>
        <item x="273"/>
        <item x="30"/>
        <item x="41"/>
        <item x="44"/>
        <item x="292"/>
        <item x="287"/>
        <item x="147"/>
        <item x="340"/>
        <item x="369"/>
        <item x="168"/>
        <item x="396"/>
        <item x="110"/>
        <item x="126"/>
        <item x="336"/>
        <item x="10"/>
        <item x="33"/>
        <item x="251"/>
        <item x="175"/>
        <item x="107"/>
        <item x="217"/>
        <item x="169"/>
        <item x="120"/>
        <item x="27"/>
        <item x="156"/>
        <item x="223"/>
        <item x="97"/>
        <item x="48"/>
        <item x="62"/>
        <item x="23"/>
        <item x="244"/>
        <item x="18"/>
        <item x="60"/>
        <item x="338"/>
        <item x="298"/>
        <item x="95"/>
        <item x="109"/>
        <item x="166"/>
        <item x="264"/>
        <item x="245"/>
        <item x="270"/>
        <item x="93"/>
        <item x="389"/>
        <item x="198"/>
        <item x="386"/>
        <item x="256"/>
        <item x="219"/>
        <item x="381"/>
        <item x="88"/>
        <item x="89"/>
        <item x="348"/>
        <item x="15"/>
        <item x="301"/>
        <item x="393"/>
        <item x="330"/>
        <item x="67"/>
        <item x="221"/>
        <item x="343"/>
        <item x="378"/>
        <item x="77"/>
        <item x="390"/>
        <item x="186"/>
        <item x="318"/>
        <item x="207"/>
        <item x="149"/>
        <item x="337"/>
        <item x="172"/>
        <item x="99"/>
        <item x="200"/>
        <item x="240"/>
        <item x="344"/>
        <item x="192"/>
        <item x="177"/>
        <item x="160"/>
        <item x="295"/>
        <item x="152"/>
        <item x="329"/>
        <item x="173"/>
        <item x="159"/>
        <item x="134"/>
        <item x="342"/>
        <item x="71"/>
        <item x="202"/>
        <item x="380"/>
        <item x="305"/>
        <item x="228"/>
        <item x="125"/>
        <item x="353"/>
        <item x="352"/>
        <item x="246"/>
        <item x="73"/>
        <item x="299"/>
        <item x="21"/>
        <item x="362"/>
        <item x="43"/>
        <item x="346"/>
        <item x="138"/>
        <item x="22"/>
        <item x="204"/>
        <item x="38"/>
        <item x="308"/>
        <item x="28"/>
        <item x="250"/>
        <item x="50"/>
        <item x="7"/>
        <item x="171"/>
        <item x="58"/>
        <item x="178"/>
        <item x="277"/>
        <item x="216"/>
        <item x="282"/>
        <item x="181"/>
        <item x="291"/>
        <item x="243"/>
        <item x="312"/>
        <item x="46"/>
        <item x="214"/>
        <item x="208"/>
        <item x="84"/>
        <item x="42"/>
        <item x="269"/>
        <item x="197"/>
        <item x="176"/>
        <item x="303"/>
        <item x="116"/>
        <item x="167"/>
        <item x="319"/>
        <item x="232"/>
        <item x="19"/>
        <item x="76"/>
        <item x="154"/>
        <item x="53"/>
        <item x="64"/>
        <item x="85"/>
        <item x="275"/>
        <item x="354"/>
        <item x="397"/>
        <item x="11"/>
        <item x="65"/>
        <item x="183"/>
        <item x="222"/>
        <item x="164"/>
        <item x="224"/>
        <item x="290"/>
        <item x="231"/>
        <item x="249"/>
        <item x="115"/>
        <item x="261"/>
        <item x="226"/>
        <item x="2"/>
        <item x="129"/>
        <item x="280"/>
        <item x="174"/>
        <item x="81"/>
        <item x="196"/>
        <item x="345"/>
        <item x="70"/>
        <item x="254"/>
        <item x="304"/>
        <item x="17"/>
        <item x="56"/>
        <item x="34"/>
        <item x="363"/>
        <item x="193"/>
        <item x="296"/>
        <item x="133"/>
        <item x="358"/>
        <item x="356"/>
        <item x="143"/>
        <item x="69"/>
        <item x="184"/>
        <item x="26"/>
        <item x="74"/>
        <item x="215"/>
        <item x="209"/>
        <item x="131"/>
        <item x="268"/>
        <item x="236"/>
        <item x="382"/>
        <item x="317"/>
        <item x="398"/>
        <item x="14"/>
        <item x="242"/>
        <item x="314"/>
        <item x="180"/>
        <item x="59"/>
        <item x="267"/>
        <item x="360"/>
        <item x="104"/>
        <item x="91"/>
        <item x="248"/>
        <item x="163"/>
        <item x="146"/>
        <item x="288"/>
        <item x="100"/>
        <item x="334"/>
        <item x="300"/>
        <item x="190"/>
        <item x="9"/>
        <item t="default"/>
      </items>
    </pivotField>
    <pivotField axis="axisRow" showAll="0">
      <items count="9">
        <item sd="0" x="4"/>
        <item sd="0" x="2"/>
        <item sd="0" x="6"/>
        <item sd="0" x="3"/>
        <item sd="0" x="7"/>
        <item sd="0" x="5"/>
        <item sd="0" x="1"/>
        <item sd="0" x="0"/>
        <item t="default" sd="0"/>
      </items>
    </pivotField>
    <pivotField showAll="0">
      <items count="101">
        <item x="59"/>
        <item x="81"/>
        <item x="82"/>
        <item x="34"/>
        <item x="89"/>
        <item x="78"/>
        <item x="41"/>
        <item x="71"/>
        <item x="39"/>
        <item x="51"/>
        <item x="72"/>
        <item x="35"/>
        <item x="22"/>
        <item x="74"/>
        <item x="77"/>
        <item x="29"/>
        <item x="38"/>
        <item x="3"/>
        <item x="61"/>
        <item x="27"/>
        <item x="60"/>
        <item x="96"/>
        <item x="66"/>
        <item x="18"/>
        <item x="65"/>
        <item x="28"/>
        <item x="16"/>
        <item x="50"/>
        <item x="54"/>
        <item x="2"/>
        <item x="5"/>
        <item x="47"/>
        <item x="9"/>
        <item x="23"/>
        <item x="55"/>
        <item x="83"/>
        <item x="57"/>
        <item x="92"/>
        <item x="0"/>
        <item x="86"/>
        <item x="12"/>
        <item x="44"/>
        <item x="75"/>
        <item x="25"/>
        <item x="69"/>
        <item x="80"/>
        <item x="98"/>
        <item x="88"/>
        <item x="85"/>
        <item x="1"/>
        <item x="90"/>
        <item x="6"/>
        <item x="91"/>
        <item x="64"/>
        <item x="15"/>
        <item x="26"/>
        <item x="31"/>
        <item x="53"/>
        <item x="73"/>
        <item x="87"/>
        <item x="14"/>
        <item x="19"/>
        <item x="20"/>
        <item x="46"/>
        <item x="11"/>
        <item x="36"/>
        <item x="45"/>
        <item x="95"/>
        <item x="97"/>
        <item x="10"/>
        <item x="42"/>
        <item x="32"/>
        <item x="94"/>
        <item x="56"/>
        <item x="13"/>
        <item x="30"/>
        <item x="43"/>
        <item x="63"/>
        <item x="33"/>
        <item x="84"/>
        <item x="52"/>
        <item x="70"/>
        <item x="8"/>
        <item x="49"/>
        <item x="68"/>
        <item x="48"/>
        <item x="4"/>
        <item x="24"/>
        <item x="76"/>
        <item x="67"/>
        <item x="79"/>
        <item x="21"/>
        <item x="93"/>
        <item x="37"/>
        <item x="99"/>
        <item x="7"/>
        <item x="58"/>
        <item x="17"/>
        <item x="62"/>
        <item x="40"/>
        <item t="default"/>
      </items>
    </pivotField>
    <pivotField showAll="0"/>
    <pivotField axis="axisRow" showAll="0">
      <items count="5">
        <item x="2"/>
        <item x="3"/>
        <item x="0"/>
        <item x="1"/>
        <item t="default"/>
      </items>
    </pivotField>
    <pivotField dataField="1"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s>
  <rowFields count="2">
    <field x="2"/>
    <field x="5"/>
  </rowFields>
  <rowItems count="9">
    <i>
      <x/>
    </i>
    <i>
      <x v="1"/>
    </i>
    <i>
      <x v="2"/>
    </i>
    <i>
      <x v="3"/>
    </i>
    <i>
      <x v="4"/>
    </i>
    <i>
      <x v="5"/>
    </i>
    <i>
      <x v="6"/>
    </i>
    <i>
      <x v="7"/>
    </i>
    <i t="grand">
      <x/>
    </i>
  </rowItems>
  <colItems count="1">
    <i/>
  </colItems>
  <dataFields count="1">
    <dataField name="Count of Category" fld="6" subtotal="count" showDataAs="percentOfCol" baseField="0" baseItem="0" numFmtId="10"/>
  </dataFields>
  <chartFormats count="18">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 chart="14" format="12">
      <pivotArea type="data" outline="0" fieldPosition="0">
        <references count="2">
          <reference field="4294967294" count="1" selected="0">
            <x v="0"/>
          </reference>
          <reference field="2" count="1" selected="0">
            <x v="1"/>
          </reference>
        </references>
      </pivotArea>
    </chartFormat>
    <chartFormat chart="14" format="13">
      <pivotArea type="data" outline="0" fieldPosition="0">
        <references count="2">
          <reference field="4294967294" count="1" selected="0">
            <x v="0"/>
          </reference>
          <reference field="2" count="1" selected="0">
            <x v="2"/>
          </reference>
        </references>
      </pivotArea>
    </chartFormat>
    <chartFormat chart="14" format="14">
      <pivotArea type="data" outline="0" fieldPosition="0">
        <references count="2">
          <reference field="4294967294" count="1" selected="0">
            <x v="0"/>
          </reference>
          <reference field="2" count="1" selected="0">
            <x v="3"/>
          </reference>
        </references>
      </pivotArea>
    </chartFormat>
    <chartFormat chart="14" format="15">
      <pivotArea type="data" outline="0" fieldPosition="0">
        <references count="2">
          <reference field="4294967294" count="1" selected="0">
            <x v="0"/>
          </reference>
          <reference field="2" count="1" selected="0">
            <x v="4"/>
          </reference>
        </references>
      </pivotArea>
    </chartFormat>
    <chartFormat chart="14" format="16">
      <pivotArea type="data" outline="0" fieldPosition="0">
        <references count="2">
          <reference field="4294967294" count="1" selected="0">
            <x v="0"/>
          </reference>
          <reference field="2" count="1" selected="0">
            <x v="5"/>
          </reference>
        </references>
      </pivotArea>
    </chartFormat>
    <chartFormat chart="14" format="17">
      <pivotArea type="data" outline="0" fieldPosition="0">
        <references count="2">
          <reference field="4294967294" count="1" selected="0">
            <x v="0"/>
          </reference>
          <reference field="2" count="1" selected="0">
            <x v="6"/>
          </reference>
        </references>
      </pivotArea>
    </chartFormat>
    <chartFormat chart="14" format="18">
      <pivotArea type="data" outline="0" fieldPosition="0">
        <references count="2">
          <reference field="4294967294" count="1" selected="0">
            <x v="0"/>
          </reference>
          <reference field="2" count="1" selected="0">
            <x v="7"/>
          </reference>
        </references>
      </pivotArea>
    </chartFormat>
    <chartFormat chart="20" format="28" series="1">
      <pivotArea type="data" outline="0" fieldPosition="0">
        <references count="1">
          <reference field="4294967294" count="1" selected="0">
            <x v="0"/>
          </reference>
        </references>
      </pivotArea>
    </chartFormat>
    <chartFormat chart="20" format="29">
      <pivotArea type="data" outline="0" fieldPosition="0">
        <references count="2">
          <reference field="4294967294" count="1" selected="0">
            <x v="0"/>
          </reference>
          <reference field="2" count="1" selected="0">
            <x v="0"/>
          </reference>
        </references>
      </pivotArea>
    </chartFormat>
    <chartFormat chart="20" format="30">
      <pivotArea type="data" outline="0" fieldPosition="0">
        <references count="2">
          <reference field="4294967294" count="1" selected="0">
            <x v="0"/>
          </reference>
          <reference field="2" count="1" selected="0">
            <x v="1"/>
          </reference>
        </references>
      </pivotArea>
    </chartFormat>
    <chartFormat chart="20" format="31">
      <pivotArea type="data" outline="0" fieldPosition="0">
        <references count="2">
          <reference field="4294967294" count="1" selected="0">
            <x v="0"/>
          </reference>
          <reference field="2" count="1" selected="0">
            <x v="2"/>
          </reference>
        </references>
      </pivotArea>
    </chartFormat>
    <chartFormat chart="20" format="32">
      <pivotArea type="data" outline="0" fieldPosition="0">
        <references count="2">
          <reference field="4294967294" count="1" selected="0">
            <x v="0"/>
          </reference>
          <reference field="2" count="1" selected="0">
            <x v="3"/>
          </reference>
        </references>
      </pivotArea>
    </chartFormat>
    <chartFormat chart="20" format="33">
      <pivotArea type="data" outline="0" fieldPosition="0">
        <references count="2">
          <reference field="4294967294" count="1" selected="0">
            <x v="0"/>
          </reference>
          <reference field="2" count="1" selected="0">
            <x v="4"/>
          </reference>
        </references>
      </pivotArea>
    </chartFormat>
    <chartFormat chart="20" format="34">
      <pivotArea type="data" outline="0" fieldPosition="0">
        <references count="2">
          <reference field="4294967294" count="1" selected="0">
            <x v="0"/>
          </reference>
          <reference field="2" count="1" selected="0">
            <x v="5"/>
          </reference>
        </references>
      </pivotArea>
    </chartFormat>
    <chartFormat chart="20" format="35">
      <pivotArea type="data" outline="0" fieldPosition="0">
        <references count="2">
          <reference field="4294967294" count="1" selected="0">
            <x v="0"/>
          </reference>
          <reference field="2" count="1" selected="0">
            <x v="6"/>
          </reference>
        </references>
      </pivotArea>
    </chartFormat>
    <chartFormat chart="20" format="36">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CF5D07F-4CE7-4F8E-8774-9E3DDA61C185}" sourceName="Country">
  <pivotTables>
    <pivotTable tabId="10" name="PivotTable5"/>
  </pivotTables>
  <data>
    <tabular pivotCacheId="96130101">
      <items count="8">
        <i x="4"/>
        <i x="2" s="1"/>
        <i x="6"/>
        <i x="3"/>
        <i x="7"/>
        <i x="5"/>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3D206694-99C1-4997-96DF-609723C5C241}" cache="Slicer_Country" caption="Country"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FA4421B-7A07-4549-B1B3-B8686AE35469}" cache="Slicer_Country" caption="Country"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77BFE-905F-4E06-90F6-EAAC25130D41}">
  <dimension ref="A1:L401"/>
  <sheetViews>
    <sheetView topLeftCell="A376" workbookViewId="0">
      <selection activeCell="M392" sqref="M392"/>
    </sheetView>
  </sheetViews>
  <sheetFormatPr defaultRowHeight="14.5" x14ac:dyDescent="0.35"/>
  <cols>
    <col min="2" max="2" width="20.1796875" bestFit="1" customWidth="1"/>
    <col min="3" max="3" width="14.1796875" bestFit="1" customWidth="1"/>
    <col min="4" max="4" width="15" bestFit="1" customWidth="1"/>
    <col min="5" max="5" width="13.1796875" bestFit="1" customWidth="1"/>
    <col min="6" max="6" width="7.08984375" bestFit="1" customWidth="1"/>
    <col min="7" max="7" width="13.1796875" bestFit="1" customWidth="1"/>
    <col min="8" max="8" width="13" bestFit="1" customWidth="1"/>
    <col min="9" max="9" width="9.81640625" bestFit="1" customWidth="1"/>
  </cols>
  <sheetData>
    <row r="1" spans="1:12" ht="16" thickBot="1" x14ac:dyDescent="0.4">
      <c r="A1" s="12" t="s">
        <v>569</v>
      </c>
      <c r="B1" s="12" t="s">
        <v>0</v>
      </c>
      <c r="C1" s="13" t="s">
        <v>570</v>
      </c>
      <c r="D1" s="12" t="s">
        <v>401</v>
      </c>
      <c r="E1" s="12" t="s">
        <v>502</v>
      </c>
      <c r="F1" s="12" t="s">
        <v>538</v>
      </c>
      <c r="G1" s="12" t="s">
        <v>543</v>
      </c>
      <c r="H1" s="12" t="s">
        <v>547</v>
      </c>
      <c r="I1" s="12" t="s">
        <v>565</v>
      </c>
      <c r="J1" s="12" t="s">
        <v>566</v>
      </c>
      <c r="K1" s="12" t="s">
        <v>567</v>
      </c>
      <c r="L1" s="14" t="s">
        <v>568</v>
      </c>
    </row>
    <row r="2" spans="1:12" x14ac:dyDescent="0.35">
      <c r="A2" s="3">
        <v>1</v>
      </c>
      <c r="B2" s="4" t="s">
        <v>1</v>
      </c>
      <c r="C2" s="5" t="s">
        <v>571</v>
      </c>
      <c r="D2" s="4" t="s">
        <v>402</v>
      </c>
      <c r="E2" s="4" t="s">
        <v>503</v>
      </c>
      <c r="F2" s="4" t="s">
        <v>539</v>
      </c>
      <c r="G2" s="4" t="s">
        <v>544</v>
      </c>
      <c r="H2" s="4" t="s">
        <v>548</v>
      </c>
      <c r="I2" s="1">
        <v>56.91</v>
      </c>
      <c r="J2" s="4">
        <v>3</v>
      </c>
      <c r="K2" s="4">
        <v>0</v>
      </c>
      <c r="L2" s="4">
        <v>60.84</v>
      </c>
    </row>
    <row r="3" spans="1:12" x14ac:dyDescent="0.35">
      <c r="A3" s="6">
        <f t="shared" ref="A3:A66" si="0">A2+1</f>
        <v>2</v>
      </c>
      <c r="B3" s="7" t="s">
        <v>2</v>
      </c>
      <c r="C3" s="8" t="s">
        <v>572</v>
      </c>
      <c r="D3" s="7" t="s">
        <v>402</v>
      </c>
      <c r="E3" s="7" t="s">
        <v>503</v>
      </c>
      <c r="F3" s="7" t="s">
        <v>539</v>
      </c>
      <c r="G3" s="7" t="s">
        <v>544</v>
      </c>
      <c r="H3" s="7" t="s">
        <v>549</v>
      </c>
      <c r="I3" s="2">
        <v>77.599999999999994</v>
      </c>
      <c r="J3" s="7">
        <v>1</v>
      </c>
      <c r="K3" s="7">
        <v>0.2</v>
      </c>
      <c r="L3" s="7">
        <v>35.207999999999998</v>
      </c>
    </row>
    <row r="4" spans="1:12" x14ac:dyDescent="0.35">
      <c r="A4" s="9">
        <f t="shared" si="0"/>
        <v>3</v>
      </c>
      <c r="B4" s="10" t="s">
        <v>3</v>
      </c>
      <c r="C4" s="11" t="s">
        <v>571</v>
      </c>
      <c r="D4" s="10" t="s">
        <v>403</v>
      </c>
      <c r="E4" s="10" t="s">
        <v>504</v>
      </c>
      <c r="F4" s="10" t="s">
        <v>540</v>
      </c>
      <c r="G4" s="10" t="s">
        <v>545</v>
      </c>
      <c r="H4" s="10" t="s">
        <v>550</v>
      </c>
      <c r="I4" s="1">
        <v>14.28</v>
      </c>
      <c r="J4" s="10">
        <v>8</v>
      </c>
      <c r="K4" s="10">
        <v>0.2</v>
      </c>
      <c r="L4" s="10">
        <v>41.472000000000008</v>
      </c>
    </row>
    <row r="5" spans="1:12" x14ac:dyDescent="0.35">
      <c r="A5" s="6">
        <f t="shared" si="0"/>
        <v>4</v>
      </c>
      <c r="B5" s="7" t="s">
        <v>4</v>
      </c>
      <c r="C5" s="8" t="s">
        <v>573</v>
      </c>
      <c r="D5" s="7" t="s">
        <v>404</v>
      </c>
      <c r="E5" s="7" t="s">
        <v>505</v>
      </c>
      <c r="F5" s="7" t="s">
        <v>539</v>
      </c>
      <c r="G5" s="7" t="s">
        <v>544</v>
      </c>
      <c r="H5" s="7" t="s">
        <v>551</v>
      </c>
      <c r="I5" s="2">
        <v>219.07500000000002</v>
      </c>
      <c r="J5" s="7">
        <v>5</v>
      </c>
      <c r="K5" s="7">
        <v>0</v>
      </c>
      <c r="L5" s="7">
        <v>239.5</v>
      </c>
    </row>
    <row r="6" spans="1:12" x14ac:dyDescent="0.35">
      <c r="A6" s="9">
        <f t="shared" si="0"/>
        <v>5</v>
      </c>
      <c r="B6" s="10" t="s">
        <v>5</v>
      </c>
      <c r="C6" s="11" t="s">
        <v>574</v>
      </c>
      <c r="D6" s="10" t="s">
        <v>404</v>
      </c>
      <c r="E6" s="10" t="s">
        <v>505</v>
      </c>
      <c r="F6" s="10" t="s">
        <v>539</v>
      </c>
      <c r="G6" s="10" t="s">
        <v>545</v>
      </c>
      <c r="H6" s="10" t="s">
        <v>552</v>
      </c>
      <c r="I6" s="1">
        <v>26.8</v>
      </c>
      <c r="J6" s="10">
        <v>5</v>
      </c>
      <c r="K6" s="10">
        <v>0</v>
      </c>
      <c r="L6" s="10">
        <v>34.200000000000003</v>
      </c>
    </row>
    <row r="7" spans="1:12" x14ac:dyDescent="0.35">
      <c r="A7" s="6">
        <f t="shared" si="0"/>
        <v>6</v>
      </c>
      <c r="B7" s="7" t="s">
        <v>6</v>
      </c>
      <c r="C7" s="8" t="s">
        <v>571</v>
      </c>
      <c r="D7" s="7" t="s">
        <v>403</v>
      </c>
      <c r="E7" s="7" t="s">
        <v>504</v>
      </c>
      <c r="F7" s="7" t="s">
        <v>540</v>
      </c>
      <c r="G7" s="7" t="s">
        <v>544</v>
      </c>
      <c r="H7" s="7" t="s">
        <v>553</v>
      </c>
      <c r="I7" s="2">
        <v>9.84</v>
      </c>
      <c r="J7" s="7">
        <v>3</v>
      </c>
      <c r="K7" s="7">
        <v>0.4</v>
      </c>
      <c r="L7" s="7">
        <v>376.86599999999999</v>
      </c>
    </row>
    <row r="8" spans="1:12" x14ac:dyDescent="0.35">
      <c r="A8" s="9">
        <f t="shared" si="0"/>
        <v>7</v>
      </c>
      <c r="B8" s="10" t="s">
        <v>7</v>
      </c>
      <c r="C8" s="11" t="s">
        <v>575</v>
      </c>
      <c r="D8" s="10" t="s">
        <v>403</v>
      </c>
      <c r="E8" s="10" t="s">
        <v>504</v>
      </c>
      <c r="F8" s="10" t="s">
        <v>540</v>
      </c>
      <c r="G8" s="10" t="s">
        <v>545</v>
      </c>
      <c r="H8" s="10" t="s">
        <v>554</v>
      </c>
      <c r="I8" s="1">
        <v>45.480000000000004</v>
      </c>
      <c r="J8" s="10">
        <v>4</v>
      </c>
      <c r="K8" s="10">
        <v>0</v>
      </c>
      <c r="L8" s="10">
        <v>197.72</v>
      </c>
    </row>
    <row r="9" spans="1:12" x14ac:dyDescent="0.35">
      <c r="A9" s="6">
        <f t="shared" si="0"/>
        <v>8</v>
      </c>
      <c r="B9" s="7" t="s">
        <v>8</v>
      </c>
      <c r="C9" s="8" t="s">
        <v>576</v>
      </c>
      <c r="D9" s="7" t="s">
        <v>403</v>
      </c>
      <c r="E9" s="7" t="s">
        <v>504</v>
      </c>
      <c r="F9" s="7" t="s">
        <v>540</v>
      </c>
      <c r="G9" s="7" t="s">
        <v>546</v>
      </c>
      <c r="H9" s="7" t="s">
        <v>555</v>
      </c>
      <c r="I9" s="2">
        <v>289.20000000000005</v>
      </c>
      <c r="J9" s="7">
        <v>4</v>
      </c>
      <c r="K9" s="7">
        <v>0.2</v>
      </c>
      <c r="L9" s="7">
        <v>70.720000000000013</v>
      </c>
    </row>
    <row r="10" spans="1:12" x14ac:dyDescent="0.35">
      <c r="A10" s="9">
        <f t="shared" si="0"/>
        <v>9</v>
      </c>
      <c r="B10" s="10" t="s">
        <v>9</v>
      </c>
      <c r="C10" s="11" t="s">
        <v>577</v>
      </c>
      <c r="D10" s="10" t="s">
        <v>403</v>
      </c>
      <c r="E10" s="10" t="s">
        <v>504</v>
      </c>
      <c r="F10" s="10" t="s">
        <v>540</v>
      </c>
      <c r="G10" s="10" t="s">
        <v>545</v>
      </c>
      <c r="H10" s="10" t="s">
        <v>556</v>
      </c>
      <c r="I10" s="1">
        <v>4.8899999999999997</v>
      </c>
      <c r="J10" s="10">
        <v>3</v>
      </c>
      <c r="K10" s="10">
        <v>0.2</v>
      </c>
      <c r="L10" s="10">
        <v>194.35200000000003</v>
      </c>
    </row>
    <row r="11" spans="1:12" x14ac:dyDescent="0.35">
      <c r="A11" s="6">
        <f t="shared" si="0"/>
        <v>10</v>
      </c>
      <c r="B11" s="7" t="s">
        <v>10</v>
      </c>
      <c r="C11" s="8" t="s">
        <v>573</v>
      </c>
      <c r="D11" s="7" t="s">
        <v>403</v>
      </c>
      <c r="E11" s="7" t="s">
        <v>504</v>
      </c>
      <c r="F11" s="7" t="s">
        <v>540</v>
      </c>
      <c r="G11" s="7" t="s">
        <v>545</v>
      </c>
      <c r="H11" s="7" t="s">
        <v>557</v>
      </c>
      <c r="I11" s="2">
        <v>15.136000000000003</v>
      </c>
      <c r="J11" s="7">
        <v>6</v>
      </c>
      <c r="K11" s="7">
        <v>0</v>
      </c>
      <c r="L11" s="7">
        <v>21.6</v>
      </c>
    </row>
    <row r="12" spans="1:12" x14ac:dyDescent="0.35">
      <c r="A12" s="9">
        <f t="shared" si="0"/>
        <v>11</v>
      </c>
      <c r="B12" s="10" t="s">
        <v>11</v>
      </c>
      <c r="C12" s="11" t="s">
        <v>571</v>
      </c>
      <c r="D12" s="10" t="s">
        <v>403</v>
      </c>
      <c r="E12" s="10" t="s">
        <v>504</v>
      </c>
      <c r="F12" s="10" t="s">
        <v>540</v>
      </c>
      <c r="G12" s="10" t="s">
        <v>544</v>
      </c>
      <c r="H12" s="10" t="s">
        <v>551</v>
      </c>
      <c r="I12" s="1">
        <v>466.76800000000003</v>
      </c>
      <c r="J12" s="10">
        <v>3</v>
      </c>
      <c r="K12" s="10">
        <v>0</v>
      </c>
      <c r="L12" s="10">
        <v>11.07</v>
      </c>
    </row>
    <row r="13" spans="1:12" x14ac:dyDescent="0.35">
      <c r="A13" s="6">
        <f t="shared" si="0"/>
        <v>12</v>
      </c>
      <c r="B13" s="7" t="s">
        <v>12</v>
      </c>
      <c r="C13" s="8" t="s">
        <v>578</v>
      </c>
      <c r="D13" s="7" t="s">
        <v>403</v>
      </c>
      <c r="E13" s="7" t="s">
        <v>504</v>
      </c>
      <c r="F13" s="7" t="s">
        <v>540</v>
      </c>
      <c r="G13" s="7" t="s">
        <v>546</v>
      </c>
      <c r="H13" s="7" t="s">
        <v>555</v>
      </c>
      <c r="I13" s="2">
        <v>15.231999999999999</v>
      </c>
      <c r="J13" s="7">
        <v>4</v>
      </c>
      <c r="K13" s="7">
        <v>0</v>
      </c>
      <c r="L13" s="7">
        <v>282.83999999999997</v>
      </c>
    </row>
    <row r="14" spans="1:12" x14ac:dyDescent="0.35">
      <c r="A14" s="9">
        <f t="shared" si="0"/>
        <v>13</v>
      </c>
      <c r="B14" s="10" t="s">
        <v>13</v>
      </c>
      <c r="C14" s="11" t="s">
        <v>573</v>
      </c>
      <c r="D14" s="10" t="s">
        <v>405</v>
      </c>
      <c r="E14" s="10" t="s">
        <v>506</v>
      </c>
      <c r="F14" s="10" t="s">
        <v>539</v>
      </c>
      <c r="G14" s="10" t="s">
        <v>545</v>
      </c>
      <c r="H14" s="10" t="s">
        <v>558</v>
      </c>
      <c r="I14" s="1">
        <v>6.2640000000000002</v>
      </c>
      <c r="J14" s="10">
        <v>9</v>
      </c>
      <c r="K14" s="10">
        <v>0</v>
      </c>
      <c r="L14" s="10">
        <v>27.72</v>
      </c>
    </row>
    <row r="15" spans="1:12" x14ac:dyDescent="0.35">
      <c r="A15" s="6">
        <f t="shared" si="0"/>
        <v>14</v>
      </c>
      <c r="B15" s="7" t="s">
        <v>14</v>
      </c>
      <c r="C15" s="8" t="s">
        <v>572</v>
      </c>
      <c r="D15" s="7" t="s">
        <v>406</v>
      </c>
      <c r="E15" s="7" t="s">
        <v>507</v>
      </c>
      <c r="F15" s="7" t="s">
        <v>540</v>
      </c>
      <c r="G15" s="7" t="s">
        <v>545</v>
      </c>
      <c r="H15" s="7" t="s">
        <v>556</v>
      </c>
      <c r="I15" s="2">
        <v>87.539999999999992</v>
      </c>
      <c r="J15" s="7">
        <v>4</v>
      </c>
      <c r="K15" s="7">
        <v>0</v>
      </c>
      <c r="L15" s="7">
        <v>11.68</v>
      </c>
    </row>
    <row r="16" spans="1:12" x14ac:dyDescent="0.35">
      <c r="A16" s="9">
        <f t="shared" si="0"/>
        <v>15</v>
      </c>
      <c r="B16" s="10" t="s">
        <v>15</v>
      </c>
      <c r="C16" s="11" t="s">
        <v>571</v>
      </c>
      <c r="D16" s="10" t="s">
        <v>407</v>
      </c>
      <c r="E16" s="10" t="s">
        <v>508</v>
      </c>
      <c r="F16" s="10" t="s">
        <v>541</v>
      </c>
      <c r="G16" s="10" t="s">
        <v>545</v>
      </c>
      <c r="H16" s="10" t="s">
        <v>557</v>
      </c>
      <c r="I16" s="1">
        <v>178.38400000000001</v>
      </c>
      <c r="J16" s="10">
        <v>2</v>
      </c>
      <c r="K16" s="10">
        <v>0.2</v>
      </c>
      <c r="L16" s="10">
        <v>239.98400000000004</v>
      </c>
    </row>
    <row r="17" spans="1:12" x14ac:dyDescent="0.35">
      <c r="A17" s="6">
        <f t="shared" si="0"/>
        <v>16</v>
      </c>
      <c r="B17" s="7" t="s">
        <v>16</v>
      </c>
      <c r="C17" s="8" t="s">
        <v>571</v>
      </c>
      <c r="D17" s="7" t="s">
        <v>407</v>
      </c>
      <c r="E17" s="7" t="s">
        <v>508</v>
      </c>
      <c r="F17" s="7" t="s">
        <v>541</v>
      </c>
      <c r="G17" s="7" t="s">
        <v>545</v>
      </c>
      <c r="H17" s="7" t="s">
        <v>556</v>
      </c>
      <c r="I17" s="2">
        <v>15.552000000000003</v>
      </c>
      <c r="J17" s="7">
        <v>1</v>
      </c>
      <c r="K17" s="7">
        <v>0</v>
      </c>
      <c r="L17" s="7">
        <v>22.98</v>
      </c>
    </row>
    <row r="18" spans="1:12" x14ac:dyDescent="0.35">
      <c r="A18" s="9">
        <f t="shared" si="0"/>
        <v>17</v>
      </c>
      <c r="B18" s="10" t="s">
        <v>17</v>
      </c>
      <c r="C18" s="11" t="s">
        <v>572</v>
      </c>
      <c r="D18" s="10" t="s">
        <v>408</v>
      </c>
      <c r="E18" s="10" t="s">
        <v>509</v>
      </c>
      <c r="F18" s="10" t="s">
        <v>541</v>
      </c>
      <c r="G18" s="10" t="s">
        <v>545</v>
      </c>
      <c r="H18" s="10" t="s">
        <v>552</v>
      </c>
      <c r="I18" s="1">
        <v>99.13600000000001</v>
      </c>
      <c r="J18" s="10">
        <v>7</v>
      </c>
      <c r="K18" s="10">
        <v>0</v>
      </c>
      <c r="L18" s="10">
        <v>102.13</v>
      </c>
    </row>
    <row r="19" spans="1:12" x14ac:dyDescent="0.35">
      <c r="A19" s="6">
        <f t="shared" si="0"/>
        <v>18</v>
      </c>
      <c r="B19" s="7" t="s">
        <v>18</v>
      </c>
      <c r="C19" s="8" t="s">
        <v>571</v>
      </c>
      <c r="D19" s="7" t="s">
        <v>409</v>
      </c>
      <c r="E19" s="7" t="s">
        <v>510</v>
      </c>
      <c r="F19" s="7" t="s">
        <v>540</v>
      </c>
      <c r="G19" s="7" t="s">
        <v>545</v>
      </c>
      <c r="H19" s="7" t="s">
        <v>552</v>
      </c>
      <c r="I19" s="2">
        <v>135.88200000000001</v>
      </c>
      <c r="J19" s="7">
        <v>2</v>
      </c>
      <c r="K19" s="7">
        <v>0.2</v>
      </c>
      <c r="L19" s="7">
        <v>2033.5840000000001</v>
      </c>
    </row>
    <row r="20" spans="1:12" x14ac:dyDescent="0.35">
      <c r="A20" s="9">
        <f t="shared" si="0"/>
        <v>19</v>
      </c>
      <c r="B20" s="10" t="s">
        <v>19</v>
      </c>
      <c r="C20" s="11" t="s">
        <v>573</v>
      </c>
      <c r="D20" s="10" t="s">
        <v>410</v>
      </c>
      <c r="E20" s="10" t="s">
        <v>504</v>
      </c>
      <c r="F20" s="10" t="s">
        <v>540</v>
      </c>
      <c r="G20" s="10" t="s">
        <v>545</v>
      </c>
      <c r="H20" s="10" t="s">
        <v>554</v>
      </c>
      <c r="I20" s="1">
        <v>3991.98</v>
      </c>
      <c r="J20" s="10">
        <v>2</v>
      </c>
      <c r="K20" s="10">
        <v>0</v>
      </c>
      <c r="L20" s="10">
        <v>5.76</v>
      </c>
    </row>
    <row r="21" spans="1:12" x14ac:dyDescent="0.35">
      <c r="A21" s="6">
        <f t="shared" si="0"/>
        <v>20</v>
      </c>
      <c r="B21" s="7" t="s">
        <v>20</v>
      </c>
      <c r="C21" s="8" t="s">
        <v>574</v>
      </c>
      <c r="D21" s="7" t="s">
        <v>410</v>
      </c>
      <c r="E21" s="7" t="s">
        <v>504</v>
      </c>
      <c r="F21" s="7" t="s">
        <v>540</v>
      </c>
      <c r="G21" s="7" t="s">
        <v>546</v>
      </c>
      <c r="H21" s="7" t="s">
        <v>555</v>
      </c>
      <c r="I21" s="2">
        <v>275.94</v>
      </c>
      <c r="J21" s="7">
        <v>3</v>
      </c>
      <c r="K21" s="7">
        <v>0.4</v>
      </c>
      <c r="L21" s="7">
        <v>899.98199999999997</v>
      </c>
    </row>
    <row r="22" spans="1:12" x14ac:dyDescent="0.35">
      <c r="A22" s="9">
        <f t="shared" si="0"/>
        <v>21</v>
      </c>
      <c r="B22" s="10" t="s">
        <v>21</v>
      </c>
      <c r="C22" s="11" t="s">
        <v>571</v>
      </c>
      <c r="D22" s="10" t="s">
        <v>410</v>
      </c>
      <c r="E22" s="10" t="s">
        <v>504</v>
      </c>
      <c r="F22" s="10" t="s">
        <v>540</v>
      </c>
      <c r="G22" s="10" t="s">
        <v>545</v>
      </c>
      <c r="H22" s="10" t="s">
        <v>556</v>
      </c>
      <c r="I22" s="1">
        <v>360</v>
      </c>
      <c r="J22" s="10">
        <v>3</v>
      </c>
      <c r="K22" s="10">
        <v>0.2</v>
      </c>
      <c r="L22" s="10">
        <v>86.352000000000004</v>
      </c>
    </row>
    <row r="23" spans="1:12" x14ac:dyDescent="0.35">
      <c r="A23" s="6">
        <f t="shared" si="0"/>
        <v>22</v>
      </c>
      <c r="B23" s="7" t="s">
        <v>22</v>
      </c>
      <c r="C23" s="8" t="s">
        <v>575</v>
      </c>
      <c r="D23" s="7" t="s">
        <v>411</v>
      </c>
      <c r="E23" s="7" t="s">
        <v>511</v>
      </c>
      <c r="F23" s="7" t="s">
        <v>541</v>
      </c>
      <c r="G23" s="7" t="s">
        <v>545</v>
      </c>
      <c r="H23" s="7" t="s">
        <v>554</v>
      </c>
      <c r="I23" s="2">
        <v>43.57</v>
      </c>
      <c r="J23" s="7">
        <v>5</v>
      </c>
      <c r="K23" s="7">
        <v>0.2</v>
      </c>
      <c r="L23" s="7">
        <v>139.96000000000004</v>
      </c>
    </row>
    <row r="24" spans="1:12" x14ac:dyDescent="0.35">
      <c r="A24" s="9">
        <f t="shared" si="0"/>
        <v>23</v>
      </c>
      <c r="B24" s="10" t="s">
        <v>23</v>
      </c>
      <c r="C24" s="11" t="s">
        <v>576</v>
      </c>
      <c r="D24" s="10" t="s">
        <v>411</v>
      </c>
      <c r="E24" s="10" t="s">
        <v>511</v>
      </c>
      <c r="F24" s="10" t="s">
        <v>541</v>
      </c>
      <c r="G24" s="10" t="s">
        <v>545</v>
      </c>
      <c r="H24" s="10" t="s">
        <v>557</v>
      </c>
      <c r="I24" s="1">
        <v>7.16</v>
      </c>
      <c r="J24" s="10">
        <v>6</v>
      </c>
      <c r="K24" s="10">
        <v>0.2</v>
      </c>
      <c r="L24" s="10">
        <v>16.704000000000001</v>
      </c>
    </row>
    <row r="25" spans="1:12" x14ac:dyDescent="0.35">
      <c r="A25" s="6">
        <f t="shared" si="0"/>
        <v>24</v>
      </c>
      <c r="B25" s="7" t="s">
        <v>24</v>
      </c>
      <c r="C25" s="8" t="s">
        <v>577</v>
      </c>
      <c r="D25" s="7" t="s">
        <v>412</v>
      </c>
      <c r="E25" s="7" t="s">
        <v>512</v>
      </c>
      <c r="F25" s="7" t="s">
        <v>542</v>
      </c>
      <c r="G25" s="7" t="s">
        <v>544</v>
      </c>
      <c r="H25" s="7" t="s">
        <v>549</v>
      </c>
      <c r="I25" s="2">
        <v>251.52</v>
      </c>
      <c r="J25" s="7">
        <v>2</v>
      </c>
      <c r="K25" s="7">
        <v>0.2</v>
      </c>
      <c r="L25" s="7">
        <v>3.1520000000000001</v>
      </c>
    </row>
    <row r="26" spans="1:12" x14ac:dyDescent="0.35">
      <c r="A26" s="9">
        <f t="shared" si="0"/>
        <v>25</v>
      </c>
      <c r="B26" s="10" t="s">
        <v>25</v>
      </c>
      <c r="C26" s="11" t="s">
        <v>573</v>
      </c>
      <c r="D26" s="10" t="s">
        <v>413</v>
      </c>
      <c r="E26" s="10" t="s">
        <v>510</v>
      </c>
      <c r="F26" s="10" t="s">
        <v>540</v>
      </c>
      <c r="G26" s="10" t="s">
        <v>544</v>
      </c>
      <c r="H26" s="10" t="s">
        <v>551</v>
      </c>
      <c r="I26" s="1">
        <v>99.99</v>
      </c>
      <c r="J26" s="10">
        <v>4</v>
      </c>
      <c r="K26" s="10">
        <v>0.2</v>
      </c>
      <c r="L26" s="10">
        <v>32.896000000000001</v>
      </c>
    </row>
    <row r="27" spans="1:12" x14ac:dyDescent="0.35">
      <c r="A27" s="6">
        <f t="shared" si="0"/>
        <v>26</v>
      </c>
      <c r="B27" s="7" t="s">
        <v>26</v>
      </c>
      <c r="C27" s="8" t="s">
        <v>571</v>
      </c>
      <c r="D27" s="7" t="s">
        <v>403</v>
      </c>
      <c r="E27" s="7" t="s">
        <v>504</v>
      </c>
      <c r="F27" s="7" t="s">
        <v>540</v>
      </c>
      <c r="G27" s="7" t="s">
        <v>545</v>
      </c>
      <c r="H27" s="7" t="s">
        <v>556</v>
      </c>
      <c r="I27" s="2">
        <v>15.991999999999999</v>
      </c>
      <c r="J27" s="7">
        <v>2</v>
      </c>
      <c r="K27" s="7">
        <v>0.8</v>
      </c>
      <c r="L27" s="7">
        <v>21.391999999999992</v>
      </c>
    </row>
    <row r="28" spans="1:12" x14ac:dyDescent="0.35">
      <c r="A28" s="9">
        <f t="shared" si="0"/>
        <v>27</v>
      </c>
      <c r="B28" s="10" t="s">
        <v>27</v>
      </c>
      <c r="C28" s="11" t="s">
        <v>578</v>
      </c>
      <c r="D28" s="10" t="s">
        <v>403</v>
      </c>
      <c r="E28" s="10" t="s">
        <v>504</v>
      </c>
      <c r="F28" s="10" t="s">
        <v>540</v>
      </c>
      <c r="G28" s="10" t="s">
        <v>546</v>
      </c>
      <c r="H28" s="10" t="s">
        <v>559</v>
      </c>
      <c r="I28" s="1">
        <v>290.89800000000002</v>
      </c>
      <c r="J28" s="10">
        <v>3</v>
      </c>
      <c r="K28" s="10">
        <v>0.3</v>
      </c>
      <c r="L28" s="10">
        <v>307.31400000000002</v>
      </c>
    </row>
    <row r="29" spans="1:12" x14ac:dyDescent="0.35">
      <c r="A29" s="6">
        <f t="shared" si="0"/>
        <v>28</v>
      </c>
      <c r="B29" s="7" t="s">
        <v>28</v>
      </c>
      <c r="C29" s="8" t="s">
        <v>573</v>
      </c>
      <c r="D29" s="7" t="s">
        <v>412</v>
      </c>
      <c r="E29" s="7" t="s">
        <v>512</v>
      </c>
      <c r="F29" s="7" t="s">
        <v>542</v>
      </c>
      <c r="G29" s="7" t="s">
        <v>544</v>
      </c>
      <c r="H29" s="7" t="s">
        <v>548</v>
      </c>
      <c r="I29" s="2">
        <v>54.224000000000004</v>
      </c>
      <c r="J29" s="7">
        <v>3</v>
      </c>
      <c r="K29" s="7">
        <v>0.32</v>
      </c>
      <c r="L29" s="7">
        <v>409.99919999999997</v>
      </c>
    </row>
    <row r="30" spans="1:12" x14ac:dyDescent="0.35">
      <c r="A30" s="9">
        <f t="shared" si="0"/>
        <v>29</v>
      </c>
      <c r="B30" s="10" t="s">
        <v>29</v>
      </c>
      <c r="C30" s="11" t="s">
        <v>572</v>
      </c>
      <c r="D30" s="10" t="s">
        <v>412</v>
      </c>
      <c r="E30" s="10" t="s">
        <v>512</v>
      </c>
      <c r="F30" s="10" t="s">
        <v>542</v>
      </c>
      <c r="G30" s="10" t="s">
        <v>545</v>
      </c>
      <c r="H30" s="10" t="s">
        <v>556</v>
      </c>
      <c r="I30" s="1">
        <v>786.74400000000003</v>
      </c>
      <c r="J30" s="10">
        <v>2</v>
      </c>
      <c r="K30" s="10">
        <v>0.2</v>
      </c>
      <c r="L30" s="10">
        <v>9.2480000000000011</v>
      </c>
    </row>
    <row r="31" spans="1:12" x14ac:dyDescent="0.35">
      <c r="A31" s="6">
        <f t="shared" si="0"/>
        <v>30</v>
      </c>
      <c r="B31" s="7" t="s">
        <v>30</v>
      </c>
      <c r="C31" s="8" t="s">
        <v>571</v>
      </c>
      <c r="D31" s="7" t="s">
        <v>412</v>
      </c>
      <c r="E31" s="7" t="s">
        <v>512</v>
      </c>
      <c r="F31" s="7" t="s">
        <v>542</v>
      </c>
      <c r="G31" s="7" t="s">
        <v>544</v>
      </c>
      <c r="H31" s="7" t="s">
        <v>553</v>
      </c>
      <c r="I31" s="2">
        <v>100.24000000000001</v>
      </c>
      <c r="J31" s="7">
        <v>3</v>
      </c>
      <c r="K31" s="7">
        <v>0</v>
      </c>
      <c r="L31" s="7">
        <v>14.669999999999998</v>
      </c>
    </row>
    <row r="32" spans="1:12" x14ac:dyDescent="0.35">
      <c r="A32" s="9">
        <f t="shared" si="0"/>
        <v>31</v>
      </c>
      <c r="B32" s="10" t="s">
        <v>31</v>
      </c>
      <c r="C32" s="11" t="s">
        <v>571</v>
      </c>
      <c r="D32" s="10" t="s">
        <v>412</v>
      </c>
      <c r="E32" s="10" t="s">
        <v>512</v>
      </c>
      <c r="F32" s="10" t="s">
        <v>542</v>
      </c>
      <c r="G32" s="10" t="s">
        <v>545</v>
      </c>
      <c r="H32" s="10" t="s">
        <v>560</v>
      </c>
      <c r="I32" s="1">
        <v>37.76400000000001</v>
      </c>
      <c r="J32" s="10">
        <v>7</v>
      </c>
      <c r="K32" s="10">
        <v>0.2</v>
      </c>
      <c r="L32" s="10">
        <v>37.408000000000001</v>
      </c>
    </row>
    <row r="33" spans="1:12" x14ac:dyDescent="0.35">
      <c r="A33" s="6">
        <f t="shared" si="0"/>
        <v>32</v>
      </c>
      <c r="B33" s="7" t="s">
        <v>32</v>
      </c>
      <c r="C33" s="8" t="s">
        <v>572</v>
      </c>
      <c r="D33" s="7" t="s">
        <v>412</v>
      </c>
      <c r="E33" s="7" t="s">
        <v>512</v>
      </c>
      <c r="F33" s="7" t="s">
        <v>542</v>
      </c>
      <c r="G33" s="7" t="s">
        <v>545</v>
      </c>
      <c r="H33" s="7" t="s">
        <v>554</v>
      </c>
      <c r="I33" s="2">
        <v>82.8</v>
      </c>
      <c r="J33" s="7">
        <v>2</v>
      </c>
      <c r="K33" s="7">
        <v>0.7</v>
      </c>
      <c r="L33" s="7">
        <v>3.4380000000000006</v>
      </c>
    </row>
    <row r="34" spans="1:12" x14ac:dyDescent="0.35">
      <c r="A34" s="9">
        <f t="shared" si="0"/>
        <v>33</v>
      </c>
      <c r="B34" s="10" t="s">
        <v>33</v>
      </c>
      <c r="C34" s="11" t="s">
        <v>571</v>
      </c>
      <c r="D34" s="10" t="s">
        <v>412</v>
      </c>
      <c r="E34" s="10" t="s">
        <v>512</v>
      </c>
      <c r="F34" s="10" t="s">
        <v>542</v>
      </c>
      <c r="G34" s="10" t="s">
        <v>545</v>
      </c>
      <c r="H34" s="10" t="s">
        <v>556</v>
      </c>
      <c r="I34" s="1">
        <v>20.724000000000004</v>
      </c>
      <c r="J34" s="10">
        <v>3</v>
      </c>
      <c r="K34" s="10">
        <v>0.2</v>
      </c>
      <c r="L34" s="10">
        <v>7.1519999999999992</v>
      </c>
    </row>
    <row r="35" spans="1:12" x14ac:dyDescent="0.35">
      <c r="A35" s="6">
        <f t="shared" si="0"/>
        <v>34</v>
      </c>
      <c r="B35" s="7" t="s">
        <v>34</v>
      </c>
      <c r="C35" s="8" t="s">
        <v>573</v>
      </c>
      <c r="D35" s="7" t="s">
        <v>412</v>
      </c>
      <c r="E35" s="7" t="s">
        <v>512</v>
      </c>
      <c r="F35" s="7" t="s">
        <v>542</v>
      </c>
      <c r="G35" s="7" t="s">
        <v>545</v>
      </c>
      <c r="H35" s="7" t="s">
        <v>554</v>
      </c>
      <c r="I35" s="2">
        <v>4.8960000000000008</v>
      </c>
      <c r="J35" s="7">
        <v>6</v>
      </c>
      <c r="K35" s="7">
        <v>0</v>
      </c>
      <c r="L35" s="7">
        <v>179.7</v>
      </c>
    </row>
    <row r="36" spans="1:12" x14ac:dyDescent="0.35">
      <c r="A36" s="9">
        <f t="shared" si="0"/>
        <v>35</v>
      </c>
      <c r="B36" s="10" t="s">
        <v>35</v>
      </c>
      <c r="C36" s="11" t="s">
        <v>574</v>
      </c>
      <c r="D36" s="10" t="s">
        <v>414</v>
      </c>
      <c r="E36" s="10" t="s">
        <v>508</v>
      </c>
      <c r="F36" s="10" t="s">
        <v>541</v>
      </c>
      <c r="G36" s="10" t="s">
        <v>545</v>
      </c>
      <c r="H36" s="10" t="s">
        <v>558</v>
      </c>
      <c r="I36" s="1">
        <v>4.7520000000000007</v>
      </c>
      <c r="J36" s="10">
        <v>8</v>
      </c>
      <c r="K36" s="10">
        <v>0</v>
      </c>
      <c r="L36" s="10">
        <v>90.64</v>
      </c>
    </row>
    <row r="37" spans="1:12" x14ac:dyDescent="0.35">
      <c r="A37" s="6">
        <f t="shared" si="0"/>
        <v>36</v>
      </c>
      <c r="B37" s="7" t="s">
        <v>36</v>
      </c>
      <c r="C37" s="8" t="s">
        <v>571</v>
      </c>
      <c r="D37" s="7" t="s">
        <v>415</v>
      </c>
      <c r="E37" s="7" t="s">
        <v>508</v>
      </c>
      <c r="F37" s="7" t="s">
        <v>541</v>
      </c>
      <c r="G37" s="7" t="s">
        <v>546</v>
      </c>
      <c r="H37" s="7" t="s">
        <v>555</v>
      </c>
      <c r="I37" s="2">
        <v>959.98400000000004</v>
      </c>
      <c r="J37" s="7">
        <v>3</v>
      </c>
      <c r="K37" s="7">
        <v>0</v>
      </c>
      <c r="L37" s="7">
        <v>177</v>
      </c>
    </row>
    <row r="38" spans="1:12" x14ac:dyDescent="0.35">
      <c r="A38" s="9">
        <f t="shared" si="0"/>
        <v>37</v>
      </c>
      <c r="B38" s="10" t="s">
        <v>37</v>
      </c>
      <c r="C38" s="11" t="s">
        <v>575</v>
      </c>
      <c r="D38" s="10" t="s">
        <v>415</v>
      </c>
      <c r="E38" s="10" t="s">
        <v>508</v>
      </c>
      <c r="F38" s="10" t="s">
        <v>541</v>
      </c>
      <c r="G38" s="10" t="s">
        <v>544</v>
      </c>
      <c r="H38" s="10" t="s">
        <v>553</v>
      </c>
      <c r="I38" s="1">
        <v>14.368000000000002</v>
      </c>
      <c r="J38" s="10">
        <v>7</v>
      </c>
      <c r="K38" s="10">
        <v>0</v>
      </c>
      <c r="L38" s="10">
        <v>79.45</v>
      </c>
    </row>
    <row r="39" spans="1:12" x14ac:dyDescent="0.35">
      <c r="A39" s="6">
        <f t="shared" si="0"/>
        <v>38</v>
      </c>
      <c r="B39" s="7" t="s">
        <v>38</v>
      </c>
      <c r="C39" s="8" t="s">
        <v>576</v>
      </c>
      <c r="D39" s="7" t="s">
        <v>414</v>
      </c>
      <c r="E39" s="7" t="s">
        <v>508</v>
      </c>
      <c r="F39" s="7" t="s">
        <v>541</v>
      </c>
      <c r="G39" s="7" t="s">
        <v>545</v>
      </c>
      <c r="H39" s="7" t="s">
        <v>560</v>
      </c>
      <c r="I39" s="2">
        <v>7.7120000000000006</v>
      </c>
      <c r="J39" s="7">
        <v>9</v>
      </c>
      <c r="K39" s="7">
        <v>0</v>
      </c>
      <c r="L39" s="7">
        <v>1628.82</v>
      </c>
    </row>
    <row r="40" spans="1:12" x14ac:dyDescent="0.35">
      <c r="A40" s="9">
        <f t="shared" si="0"/>
        <v>39</v>
      </c>
      <c r="B40" s="10" t="s">
        <v>39</v>
      </c>
      <c r="C40" s="11" t="s">
        <v>577</v>
      </c>
      <c r="D40" s="10" t="s">
        <v>414</v>
      </c>
      <c r="E40" s="10" t="s">
        <v>508</v>
      </c>
      <c r="F40" s="10" t="s">
        <v>541</v>
      </c>
      <c r="G40" s="10" t="s">
        <v>544</v>
      </c>
      <c r="H40" s="10" t="s">
        <v>548</v>
      </c>
      <c r="I40" s="1">
        <v>698.35200000000009</v>
      </c>
      <c r="J40" s="10">
        <v>2</v>
      </c>
      <c r="K40" s="10">
        <v>0</v>
      </c>
      <c r="L40" s="10">
        <v>137.54</v>
      </c>
    </row>
    <row r="41" spans="1:12" x14ac:dyDescent="0.35">
      <c r="A41" s="6">
        <f t="shared" si="0"/>
        <v>40</v>
      </c>
      <c r="B41" s="7" t="s">
        <v>40</v>
      </c>
      <c r="C41" s="8" t="s">
        <v>573</v>
      </c>
      <c r="D41" s="7" t="s">
        <v>414</v>
      </c>
      <c r="E41" s="7" t="s">
        <v>508</v>
      </c>
      <c r="F41" s="7" t="s">
        <v>541</v>
      </c>
      <c r="G41" s="7" t="s">
        <v>544</v>
      </c>
      <c r="H41" s="7" t="s">
        <v>549</v>
      </c>
      <c r="I41" s="2">
        <v>4.96</v>
      </c>
      <c r="J41" s="7">
        <v>4</v>
      </c>
      <c r="K41" s="7">
        <v>0</v>
      </c>
      <c r="L41" s="7">
        <v>730.2</v>
      </c>
    </row>
    <row r="42" spans="1:12" x14ac:dyDescent="0.35">
      <c r="A42" s="9">
        <f t="shared" si="0"/>
        <v>41</v>
      </c>
      <c r="B42" s="10" t="s">
        <v>41</v>
      </c>
      <c r="C42" s="11" t="s">
        <v>571</v>
      </c>
      <c r="D42" s="10" t="s">
        <v>414</v>
      </c>
      <c r="E42" s="10" t="s">
        <v>508</v>
      </c>
      <c r="F42" s="10" t="s">
        <v>541</v>
      </c>
      <c r="G42" s="10" t="s">
        <v>546</v>
      </c>
      <c r="H42" s="10" t="s">
        <v>555</v>
      </c>
      <c r="I42" s="1">
        <v>17.856000000000002</v>
      </c>
      <c r="J42" s="10">
        <v>2</v>
      </c>
      <c r="K42" s="10">
        <v>0</v>
      </c>
      <c r="L42" s="10">
        <v>11.56</v>
      </c>
    </row>
    <row r="43" spans="1:12" x14ac:dyDescent="0.35">
      <c r="A43" s="6">
        <f t="shared" si="0"/>
        <v>42</v>
      </c>
      <c r="B43" s="7" t="s">
        <v>42</v>
      </c>
      <c r="C43" s="8" t="s">
        <v>578</v>
      </c>
      <c r="D43" s="7" t="s">
        <v>416</v>
      </c>
      <c r="E43" s="7" t="s">
        <v>513</v>
      </c>
      <c r="F43" s="7" t="s">
        <v>541</v>
      </c>
      <c r="G43" s="7" t="s">
        <v>546</v>
      </c>
      <c r="H43" s="7" t="s">
        <v>555</v>
      </c>
      <c r="I43" s="2">
        <v>509.97000000000008</v>
      </c>
      <c r="J43" s="7">
        <v>13</v>
      </c>
      <c r="K43" s="7">
        <v>0.4</v>
      </c>
      <c r="L43" s="7">
        <v>4297.6440000000002</v>
      </c>
    </row>
    <row r="44" spans="1:12" x14ac:dyDescent="0.35">
      <c r="A44" s="9">
        <f t="shared" si="0"/>
        <v>43</v>
      </c>
      <c r="B44" s="10" t="s">
        <v>43</v>
      </c>
      <c r="C44" s="11" t="s">
        <v>573</v>
      </c>
      <c r="D44" s="10" t="s">
        <v>403</v>
      </c>
      <c r="E44" s="10" t="s">
        <v>504</v>
      </c>
      <c r="F44" s="10" t="s">
        <v>540</v>
      </c>
      <c r="G44" s="10" t="s">
        <v>545</v>
      </c>
      <c r="H44" s="10" t="s">
        <v>552</v>
      </c>
      <c r="I44" s="1">
        <v>30.991999999999997</v>
      </c>
      <c r="J44" s="10">
        <v>5</v>
      </c>
      <c r="K44" s="10">
        <v>0</v>
      </c>
      <c r="L44" s="10">
        <v>20.65</v>
      </c>
    </row>
    <row r="45" spans="1:12" x14ac:dyDescent="0.35">
      <c r="A45" s="6">
        <f t="shared" si="0"/>
        <v>44</v>
      </c>
      <c r="B45" s="7" t="s">
        <v>44</v>
      </c>
      <c r="C45" s="8" t="s">
        <v>572</v>
      </c>
      <c r="D45" s="7" t="s">
        <v>417</v>
      </c>
      <c r="E45" s="7" t="s">
        <v>505</v>
      </c>
      <c r="F45" s="7" t="s">
        <v>539</v>
      </c>
      <c r="G45" s="7" t="s">
        <v>545</v>
      </c>
      <c r="H45" s="7" t="s">
        <v>552</v>
      </c>
      <c r="I45" s="2">
        <v>71.927999999999997</v>
      </c>
      <c r="J45" s="7">
        <v>5</v>
      </c>
      <c r="K45" s="7">
        <v>0</v>
      </c>
      <c r="L45" s="7">
        <v>204.89999999999998</v>
      </c>
    </row>
    <row r="46" spans="1:12" x14ac:dyDescent="0.35">
      <c r="A46" s="9">
        <f t="shared" si="0"/>
        <v>45</v>
      </c>
      <c r="B46" s="10" t="s">
        <v>45</v>
      </c>
      <c r="C46" s="11" t="s">
        <v>571</v>
      </c>
      <c r="D46" s="10" t="s">
        <v>418</v>
      </c>
      <c r="E46" s="10" t="s">
        <v>514</v>
      </c>
      <c r="F46" s="10" t="s">
        <v>541</v>
      </c>
      <c r="G46" s="10" t="s">
        <v>546</v>
      </c>
      <c r="H46" s="10" t="s">
        <v>559</v>
      </c>
      <c r="I46" s="1">
        <v>88.800000000000011</v>
      </c>
      <c r="J46" s="10">
        <v>6</v>
      </c>
      <c r="K46" s="10">
        <v>0.2</v>
      </c>
      <c r="L46" s="10">
        <v>436.70400000000006</v>
      </c>
    </row>
    <row r="47" spans="1:12" x14ac:dyDescent="0.35">
      <c r="A47" s="6">
        <f t="shared" si="0"/>
        <v>46</v>
      </c>
      <c r="B47" s="7" t="s">
        <v>46</v>
      </c>
      <c r="C47" s="8" t="s">
        <v>571</v>
      </c>
      <c r="D47" s="7" t="s">
        <v>418</v>
      </c>
      <c r="E47" s="7" t="s">
        <v>514</v>
      </c>
      <c r="F47" s="7" t="s">
        <v>541</v>
      </c>
      <c r="G47" s="7" t="s">
        <v>545</v>
      </c>
      <c r="H47" s="7" t="s">
        <v>556</v>
      </c>
      <c r="I47" s="2">
        <v>47.975999999999999</v>
      </c>
      <c r="J47" s="7">
        <v>2</v>
      </c>
      <c r="K47" s="7">
        <v>0.2</v>
      </c>
      <c r="L47" s="7">
        <v>481.56800000000004</v>
      </c>
    </row>
    <row r="48" spans="1:12" x14ac:dyDescent="0.35">
      <c r="A48" s="9">
        <f t="shared" si="0"/>
        <v>47</v>
      </c>
      <c r="B48" s="10" t="s">
        <v>47</v>
      </c>
      <c r="C48" s="11" t="s">
        <v>572</v>
      </c>
      <c r="D48" s="10" t="s">
        <v>419</v>
      </c>
      <c r="E48" s="10" t="s">
        <v>515</v>
      </c>
      <c r="F48" s="10" t="s">
        <v>541</v>
      </c>
      <c r="G48" s="10" t="s">
        <v>545</v>
      </c>
      <c r="H48" s="10" t="s">
        <v>552</v>
      </c>
      <c r="I48" s="1">
        <v>7.5600000000000005</v>
      </c>
      <c r="J48" s="10">
        <v>7</v>
      </c>
      <c r="K48" s="10">
        <v>0.2</v>
      </c>
      <c r="L48" s="10">
        <v>89.544000000000011</v>
      </c>
    </row>
    <row r="49" spans="1:12" x14ac:dyDescent="0.35">
      <c r="A49" s="6">
        <f t="shared" si="0"/>
        <v>48</v>
      </c>
      <c r="B49" s="7" t="s">
        <v>48</v>
      </c>
      <c r="C49" s="8" t="s">
        <v>571</v>
      </c>
      <c r="D49" s="7" t="s">
        <v>420</v>
      </c>
      <c r="E49" s="7" t="s">
        <v>516</v>
      </c>
      <c r="F49" s="7" t="s">
        <v>542</v>
      </c>
      <c r="G49" s="7" t="s">
        <v>546</v>
      </c>
      <c r="H49" s="7" t="s">
        <v>559</v>
      </c>
      <c r="I49" s="2">
        <v>24.56</v>
      </c>
      <c r="J49" s="7">
        <v>2</v>
      </c>
      <c r="K49" s="7">
        <v>0.2</v>
      </c>
      <c r="L49" s="7">
        <v>35.167999999999999</v>
      </c>
    </row>
    <row r="50" spans="1:12" x14ac:dyDescent="0.35">
      <c r="A50" s="9">
        <f t="shared" si="0"/>
        <v>49</v>
      </c>
      <c r="B50" s="10" t="s">
        <v>49</v>
      </c>
      <c r="C50" s="11" t="s">
        <v>573</v>
      </c>
      <c r="D50" s="10" t="s">
        <v>420</v>
      </c>
      <c r="E50" s="10" t="s">
        <v>516</v>
      </c>
      <c r="F50" s="10" t="s">
        <v>542</v>
      </c>
      <c r="G50" s="10" t="s">
        <v>546</v>
      </c>
      <c r="H50" s="10" t="s">
        <v>555</v>
      </c>
      <c r="I50" s="1">
        <v>12.96</v>
      </c>
      <c r="J50" s="10">
        <v>2</v>
      </c>
      <c r="K50" s="10">
        <v>0.7</v>
      </c>
      <c r="L50" s="10">
        <v>72.588000000000008</v>
      </c>
    </row>
    <row r="51" spans="1:12" x14ac:dyDescent="0.35">
      <c r="A51" s="6">
        <f t="shared" si="0"/>
        <v>50</v>
      </c>
      <c r="B51" s="7" t="s">
        <v>50</v>
      </c>
      <c r="C51" s="8" t="s">
        <v>574</v>
      </c>
      <c r="D51" s="7" t="s">
        <v>421</v>
      </c>
      <c r="E51" s="7" t="s">
        <v>517</v>
      </c>
      <c r="F51" s="7" t="s">
        <v>541</v>
      </c>
      <c r="G51" s="7" t="s">
        <v>545</v>
      </c>
      <c r="H51" s="7" t="s">
        <v>556</v>
      </c>
      <c r="I51" s="2">
        <v>6.79</v>
      </c>
      <c r="J51" s="7">
        <v>4</v>
      </c>
      <c r="K51" s="7">
        <v>0</v>
      </c>
      <c r="L51" s="7">
        <v>221.16</v>
      </c>
    </row>
    <row r="52" spans="1:12" x14ac:dyDescent="0.35">
      <c r="A52" s="9">
        <f t="shared" si="0"/>
        <v>51</v>
      </c>
      <c r="B52" s="10" t="s">
        <v>51</v>
      </c>
      <c r="C52" s="11" t="s">
        <v>571</v>
      </c>
      <c r="D52" s="10" t="s">
        <v>421</v>
      </c>
      <c r="E52" s="10" t="s">
        <v>517</v>
      </c>
      <c r="F52" s="10" t="s">
        <v>541</v>
      </c>
      <c r="G52" s="10" t="s">
        <v>545</v>
      </c>
      <c r="H52" s="10" t="s">
        <v>550</v>
      </c>
      <c r="I52" s="1">
        <v>24.56</v>
      </c>
      <c r="J52" s="10">
        <v>3</v>
      </c>
      <c r="K52" s="10">
        <v>0</v>
      </c>
      <c r="L52" s="10">
        <v>281.96999999999997</v>
      </c>
    </row>
    <row r="53" spans="1:12" x14ac:dyDescent="0.35">
      <c r="A53" s="6">
        <f t="shared" si="0"/>
        <v>52</v>
      </c>
      <c r="B53" s="7" t="s">
        <v>52</v>
      </c>
      <c r="C53" s="8" t="s">
        <v>575</v>
      </c>
      <c r="D53" s="7" t="s">
        <v>421</v>
      </c>
      <c r="E53" s="7" t="s">
        <v>517</v>
      </c>
      <c r="F53" s="7" t="s">
        <v>541</v>
      </c>
      <c r="G53" s="7" t="s">
        <v>544</v>
      </c>
      <c r="H53" s="7" t="s">
        <v>553</v>
      </c>
      <c r="I53" s="2">
        <v>3.048</v>
      </c>
      <c r="J53" s="7">
        <v>8</v>
      </c>
      <c r="K53" s="7">
        <v>0.15</v>
      </c>
      <c r="L53" s="7">
        <v>3406.6640000000002</v>
      </c>
    </row>
    <row r="54" spans="1:12" x14ac:dyDescent="0.35">
      <c r="A54" s="9">
        <f t="shared" si="0"/>
        <v>53</v>
      </c>
      <c r="B54" s="10" t="s">
        <v>53</v>
      </c>
      <c r="C54" s="11" t="s">
        <v>576</v>
      </c>
      <c r="D54" s="10" t="s">
        <v>421</v>
      </c>
      <c r="E54" s="10" t="s">
        <v>517</v>
      </c>
      <c r="F54" s="10" t="s">
        <v>541</v>
      </c>
      <c r="G54" s="10" t="s">
        <v>544</v>
      </c>
      <c r="H54" s="10" t="s">
        <v>549</v>
      </c>
      <c r="I54" s="1">
        <v>49.12</v>
      </c>
      <c r="J54" s="10">
        <v>9</v>
      </c>
      <c r="K54" s="10">
        <v>0</v>
      </c>
      <c r="L54" s="10">
        <v>37.17</v>
      </c>
    </row>
    <row r="55" spans="1:12" x14ac:dyDescent="0.35">
      <c r="A55" s="6">
        <f t="shared" si="0"/>
        <v>54</v>
      </c>
      <c r="B55" s="7" t="s">
        <v>54</v>
      </c>
      <c r="C55" s="8" t="s">
        <v>577</v>
      </c>
      <c r="D55" s="7" t="s">
        <v>422</v>
      </c>
      <c r="E55" s="7" t="s">
        <v>518</v>
      </c>
      <c r="F55" s="7" t="s">
        <v>542</v>
      </c>
      <c r="G55" s="7" t="s">
        <v>545</v>
      </c>
      <c r="H55" s="7" t="s">
        <v>561</v>
      </c>
      <c r="I55" s="2">
        <v>4355.1680000000006</v>
      </c>
      <c r="J55" s="7">
        <v>2</v>
      </c>
      <c r="K55" s="7">
        <v>0</v>
      </c>
      <c r="L55" s="7">
        <v>64.959999999999994</v>
      </c>
    </row>
    <row r="56" spans="1:12" x14ac:dyDescent="0.35">
      <c r="A56" s="9">
        <f t="shared" si="0"/>
        <v>55</v>
      </c>
      <c r="B56" s="10" t="s">
        <v>55</v>
      </c>
      <c r="C56" s="11" t="s">
        <v>573</v>
      </c>
      <c r="D56" s="10" t="s">
        <v>422</v>
      </c>
      <c r="E56" s="10" t="s">
        <v>518</v>
      </c>
      <c r="F56" s="10" t="s">
        <v>542</v>
      </c>
      <c r="G56" s="10" t="s">
        <v>546</v>
      </c>
      <c r="H56" s="10" t="s">
        <v>555</v>
      </c>
      <c r="I56" s="1">
        <v>388.70400000000006</v>
      </c>
      <c r="J56" s="10">
        <v>6</v>
      </c>
      <c r="K56" s="10">
        <v>0</v>
      </c>
      <c r="L56" s="10">
        <v>595.38</v>
      </c>
    </row>
    <row r="57" spans="1:12" x14ac:dyDescent="0.35">
      <c r="A57" s="6">
        <f t="shared" si="0"/>
        <v>56</v>
      </c>
      <c r="B57" s="7" t="s">
        <v>56</v>
      </c>
      <c r="C57" s="8" t="s">
        <v>571</v>
      </c>
      <c r="D57" s="7" t="s">
        <v>423</v>
      </c>
      <c r="E57" s="7" t="s">
        <v>518</v>
      </c>
      <c r="F57" s="7" t="s">
        <v>542</v>
      </c>
      <c r="G57" s="7" t="s">
        <v>545</v>
      </c>
      <c r="H57" s="7" t="s">
        <v>552</v>
      </c>
      <c r="I57" s="2">
        <v>8.26</v>
      </c>
      <c r="J57" s="7">
        <v>2</v>
      </c>
      <c r="K57" s="7">
        <v>0.2</v>
      </c>
      <c r="L57" s="7">
        <v>95.984000000000009</v>
      </c>
    </row>
    <row r="58" spans="1:12" x14ac:dyDescent="0.35">
      <c r="A58" s="9">
        <f t="shared" si="0"/>
        <v>57</v>
      </c>
      <c r="B58" s="10" t="s">
        <v>57</v>
      </c>
      <c r="C58" s="11" t="s">
        <v>578</v>
      </c>
      <c r="D58" s="10" t="s">
        <v>423</v>
      </c>
      <c r="E58" s="10" t="s">
        <v>518</v>
      </c>
      <c r="F58" s="10" t="s">
        <v>542</v>
      </c>
      <c r="G58" s="10" t="s">
        <v>545</v>
      </c>
      <c r="H58" s="10" t="s">
        <v>558</v>
      </c>
      <c r="I58" s="1">
        <v>17.04</v>
      </c>
      <c r="J58" s="10">
        <v>2</v>
      </c>
      <c r="K58" s="10">
        <v>0.7</v>
      </c>
      <c r="L58" s="10">
        <v>4.9380000000000006</v>
      </c>
    </row>
    <row r="59" spans="1:12" x14ac:dyDescent="0.35">
      <c r="A59" s="6">
        <f t="shared" si="0"/>
        <v>58</v>
      </c>
      <c r="B59" s="7" t="s">
        <v>58</v>
      </c>
      <c r="C59" s="8" t="s">
        <v>573</v>
      </c>
      <c r="D59" s="7" t="s">
        <v>423</v>
      </c>
      <c r="E59" s="7" t="s">
        <v>518</v>
      </c>
      <c r="F59" s="7" t="s">
        <v>542</v>
      </c>
      <c r="G59" s="7" t="s">
        <v>544</v>
      </c>
      <c r="H59" s="7" t="s">
        <v>549</v>
      </c>
      <c r="I59" s="2">
        <v>34.4</v>
      </c>
      <c r="J59" s="7">
        <v>3</v>
      </c>
      <c r="K59" s="7">
        <v>0</v>
      </c>
      <c r="L59" s="7">
        <v>97.44</v>
      </c>
    </row>
    <row r="60" spans="1:12" x14ac:dyDescent="0.35">
      <c r="A60" s="9">
        <f t="shared" si="0"/>
        <v>59</v>
      </c>
      <c r="B60" s="10" t="s">
        <v>59</v>
      </c>
      <c r="C60" s="11" t="s">
        <v>572</v>
      </c>
      <c r="D60" s="10" t="s">
        <v>423</v>
      </c>
      <c r="E60" s="10" t="s">
        <v>518</v>
      </c>
      <c r="F60" s="10" t="s">
        <v>542</v>
      </c>
      <c r="G60" s="10" t="s">
        <v>545</v>
      </c>
      <c r="H60" s="10" t="s">
        <v>558</v>
      </c>
      <c r="I60" s="1">
        <v>36.240000000000009</v>
      </c>
      <c r="J60" s="10">
        <v>1</v>
      </c>
      <c r="K60" s="10">
        <v>0.2</v>
      </c>
      <c r="L60" s="10">
        <v>3.9840000000000004</v>
      </c>
    </row>
    <row r="61" spans="1:12" x14ac:dyDescent="0.35">
      <c r="A61" s="6">
        <f t="shared" si="0"/>
        <v>60</v>
      </c>
      <c r="B61" s="7" t="s">
        <v>60</v>
      </c>
      <c r="C61" s="8" t="s">
        <v>571</v>
      </c>
      <c r="D61" s="7" t="s">
        <v>423</v>
      </c>
      <c r="E61" s="7" t="s">
        <v>518</v>
      </c>
      <c r="F61" s="7" t="s">
        <v>542</v>
      </c>
      <c r="G61" s="7" t="s">
        <v>546</v>
      </c>
      <c r="H61" s="7" t="s">
        <v>559</v>
      </c>
      <c r="I61" s="2">
        <v>647.84</v>
      </c>
      <c r="J61" s="7">
        <v>4</v>
      </c>
      <c r="K61" s="7">
        <v>0</v>
      </c>
      <c r="L61" s="7">
        <v>13.04</v>
      </c>
    </row>
    <row r="62" spans="1:12" x14ac:dyDescent="0.35">
      <c r="A62" s="9">
        <f t="shared" si="0"/>
        <v>61</v>
      </c>
      <c r="B62" s="10" t="s">
        <v>61</v>
      </c>
      <c r="C62" s="11" t="s">
        <v>571</v>
      </c>
      <c r="D62" s="10" t="s">
        <v>423</v>
      </c>
      <c r="E62" s="10" t="s">
        <v>518</v>
      </c>
      <c r="F62" s="10" t="s">
        <v>542</v>
      </c>
      <c r="G62" s="10" t="s">
        <v>545</v>
      </c>
      <c r="H62" s="10" t="s">
        <v>556</v>
      </c>
      <c r="I62" s="1">
        <v>20.7</v>
      </c>
      <c r="J62" s="10">
        <v>4</v>
      </c>
      <c r="K62" s="10">
        <v>0.1</v>
      </c>
      <c r="L62" s="10">
        <v>579.52800000000002</v>
      </c>
    </row>
    <row r="63" spans="1:12" x14ac:dyDescent="0.35">
      <c r="A63" s="6">
        <f t="shared" si="0"/>
        <v>62</v>
      </c>
      <c r="B63" s="7" t="s">
        <v>62</v>
      </c>
      <c r="C63" s="8" t="s">
        <v>572</v>
      </c>
      <c r="D63" s="7" t="s">
        <v>423</v>
      </c>
      <c r="E63" s="7" t="s">
        <v>518</v>
      </c>
      <c r="F63" s="7" t="s">
        <v>542</v>
      </c>
      <c r="G63" s="7" t="s">
        <v>545</v>
      </c>
      <c r="H63" s="7" t="s">
        <v>554</v>
      </c>
      <c r="I63" s="2">
        <v>20.7</v>
      </c>
      <c r="J63" s="7">
        <v>5</v>
      </c>
      <c r="K63" s="7">
        <v>0</v>
      </c>
      <c r="L63" s="7">
        <v>18.75</v>
      </c>
    </row>
    <row r="64" spans="1:12" x14ac:dyDescent="0.35">
      <c r="A64" s="9">
        <f t="shared" si="0"/>
        <v>63</v>
      </c>
      <c r="B64" s="10" t="s">
        <v>63</v>
      </c>
      <c r="C64" s="11" t="s">
        <v>571</v>
      </c>
      <c r="D64" s="10" t="s">
        <v>403</v>
      </c>
      <c r="E64" s="10" t="s">
        <v>504</v>
      </c>
      <c r="F64" s="10" t="s">
        <v>540</v>
      </c>
      <c r="G64" s="10" t="s">
        <v>546</v>
      </c>
      <c r="H64" s="10" t="s">
        <v>559</v>
      </c>
      <c r="I64" s="1">
        <v>488.64600000000002</v>
      </c>
      <c r="J64" s="10">
        <v>9</v>
      </c>
      <c r="K64" s="10">
        <v>0.2</v>
      </c>
      <c r="L64" s="10">
        <v>3023.9280000000003</v>
      </c>
    </row>
    <row r="65" spans="1:12" x14ac:dyDescent="0.35">
      <c r="A65" s="6">
        <f t="shared" si="0"/>
        <v>64</v>
      </c>
      <c r="B65" s="7" t="s">
        <v>64</v>
      </c>
      <c r="C65" s="8" t="s">
        <v>573</v>
      </c>
      <c r="D65" s="7" t="s">
        <v>403</v>
      </c>
      <c r="E65" s="7" t="s">
        <v>504</v>
      </c>
      <c r="F65" s="7" t="s">
        <v>540</v>
      </c>
      <c r="G65" s="7" t="s">
        <v>545</v>
      </c>
      <c r="H65" s="7" t="s">
        <v>556</v>
      </c>
      <c r="I65" s="2">
        <v>5.56</v>
      </c>
      <c r="J65" s="7">
        <v>2</v>
      </c>
      <c r="K65" s="7">
        <v>0</v>
      </c>
      <c r="L65" s="7">
        <v>26.96</v>
      </c>
    </row>
    <row r="66" spans="1:12" x14ac:dyDescent="0.35">
      <c r="A66" s="9">
        <f t="shared" si="0"/>
        <v>65</v>
      </c>
      <c r="B66" s="10" t="s">
        <v>65</v>
      </c>
      <c r="C66" s="11" t="s">
        <v>574</v>
      </c>
      <c r="D66" s="10" t="s">
        <v>403</v>
      </c>
      <c r="E66" s="10" t="s">
        <v>504</v>
      </c>
      <c r="F66" s="10" t="s">
        <v>540</v>
      </c>
      <c r="G66" s="10" t="s">
        <v>545</v>
      </c>
      <c r="H66" s="10" t="s">
        <v>558</v>
      </c>
      <c r="I66" s="1">
        <v>47.12</v>
      </c>
      <c r="J66" s="10">
        <v>3</v>
      </c>
      <c r="K66" s="10">
        <v>0.2</v>
      </c>
      <c r="L66" s="10">
        <v>477.6</v>
      </c>
    </row>
    <row r="67" spans="1:12" x14ac:dyDescent="0.35">
      <c r="A67" s="6">
        <f t="shared" ref="A67:A130" si="1">A66+1</f>
        <v>66</v>
      </c>
      <c r="B67" s="7" t="s">
        <v>66</v>
      </c>
      <c r="C67" s="8" t="s">
        <v>571</v>
      </c>
      <c r="D67" s="7" t="s">
        <v>403</v>
      </c>
      <c r="E67" s="7" t="s">
        <v>504</v>
      </c>
      <c r="F67" s="7" t="s">
        <v>540</v>
      </c>
      <c r="G67" s="7" t="s">
        <v>544</v>
      </c>
      <c r="H67" s="7" t="s">
        <v>553</v>
      </c>
      <c r="I67" s="2">
        <v>211.96</v>
      </c>
      <c r="J67" s="7">
        <v>3</v>
      </c>
      <c r="K67" s="7">
        <v>0</v>
      </c>
      <c r="L67" s="7">
        <v>193.95000000000002</v>
      </c>
    </row>
    <row r="68" spans="1:12" x14ac:dyDescent="0.35">
      <c r="A68" s="9">
        <f t="shared" si="1"/>
        <v>67</v>
      </c>
      <c r="B68" s="10" t="s">
        <v>67</v>
      </c>
      <c r="C68" s="11" t="s">
        <v>575</v>
      </c>
      <c r="D68" s="10" t="s">
        <v>424</v>
      </c>
      <c r="E68" s="10" t="s">
        <v>513</v>
      </c>
      <c r="F68" s="10" t="s">
        <v>541</v>
      </c>
      <c r="G68" s="10" t="s">
        <v>544</v>
      </c>
      <c r="H68" s="10" t="s">
        <v>549</v>
      </c>
      <c r="I68" s="1">
        <v>23.2</v>
      </c>
      <c r="J68" s="10">
        <v>2</v>
      </c>
      <c r="K68" s="10">
        <v>0</v>
      </c>
      <c r="L68" s="10">
        <v>12.96</v>
      </c>
    </row>
    <row r="69" spans="1:12" x14ac:dyDescent="0.35">
      <c r="A69" s="6">
        <f t="shared" si="1"/>
        <v>68</v>
      </c>
      <c r="B69" s="7" t="s">
        <v>68</v>
      </c>
      <c r="C69" s="8" t="s">
        <v>576</v>
      </c>
      <c r="D69" s="7" t="s">
        <v>425</v>
      </c>
      <c r="E69" s="7" t="s">
        <v>519</v>
      </c>
      <c r="F69" s="7" t="s">
        <v>540</v>
      </c>
      <c r="G69" s="7" t="s">
        <v>545</v>
      </c>
      <c r="H69" s="7" t="s">
        <v>554</v>
      </c>
      <c r="I69" s="2">
        <v>7.36</v>
      </c>
      <c r="J69" s="7">
        <v>3</v>
      </c>
      <c r="K69" s="7">
        <v>0</v>
      </c>
      <c r="L69" s="7">
        <v>119.94</v>
      </c>
    </row>
    <row r="70" spans="1:12" x14ac:dyDescent="0.35">
      <c r="A70" s="9">
        <f t="shared" si="1"/>
        <v>69</v>
      </c>
      <c r="B70" s="10" t="s">
        <v>69</v>
      </c>
      <c r="C70" s="11" t="s">
        <v>577</v>
      </c>
      <c r="D70" s="10" t="s">
        <v>425</v>
      </c>
      <c r="E70" s="10" t="s">
        <v>519</v>
      </c>
      <c r="F70" s="10" t="s">
        <v>540</v>
      </c>
      <c r="G70" s="10" t="s">
        <v>546</v>
      </c>
      <c r="H70" s="10" t="s">
        <v>555</v>
      </c>
      <c r="I70" s="1">
        <v>104.79</v>
      </c>
      <c r="J70" s="10">
        <v>3</v>
      </c>
      <c r="K70" s="10">
        <v>0</v>
      </c>
      <c r="L70" s="10">
        <v>12.419999999999998</v>
      </c>
    </row>
    <row r="71" spans="1:12" x14ac:dyDescent="0.35">
      <c r="A71" s="6">
        <f t="shared" si="1"/>
        <v>70</v>
      </c>
      <c r="B71" s="7" t="s">
        <v>70</v>
      </c>
      <c r="C71" s="8" t="s">
        <v>573</v>
      </c>
      <c r="D71" s="7" t="s">
        <v>426</v>
      </c>
      <c r="E71" s="7" t="s">
        <v>520</v>
      </c>
      <c r="F71" s="7" t="s">
        <v>539</v>
      </c>
      <c r="G71" s="7" t="s">
        <v>545</v>
      </c>
      <c r="H71" s="7" t="s">
        <v>558</v>
      </c>
      <c r="I71" s="2">
        <v>1043.92</v>
      </c>
      <c r="J71" s="7">
        <v>7</v>
      </c>
      <c r="K71" s="7">
        <v>0.2</v>
      </c>
      <c r="L71" s="7">
        <v>18.088000000000001</v>
      </c>
    </row>
    <row r="72" spans="1:12" x14ac:dyDescent="0.35">
      <c r="A72" s="9">
        <f t="shared" si="1"/>
        <v>71</v>
      </c>
      <c r="B72" s="10" t="s">
        <v>71</v>
      </c>
      <c r="C72" s="11" t="s">
        <v>571</v>
      </c>
      <c r="D72" s="10" t="s">
        <v>422</v>
      </c>
      <c r="E72" s="10" t="s">
        <v>518</v>
      </c>
      <c r="F72" s="10" t="s">
        <v>542</v>
      </c>
      <c r="G72" s="10" t="s">
        <v>545</v>
      </c>
      <c r="H72" s="10" t="s">
        <v>556</v>
      </c>
      <c r="I72" s="1">
        <v>25.920000000000005</v>
      </c>
      <c r="J72" s="10">
        <v>3</v>
      </c>
      <c r="K72" s="10">
        <v>0</v>
      </c>
      <c r="L72" s="10">
        <v>71.97</v>
      </c>
    </row>
    <row r="73" spans="1:12" x14ac:dyDescent="0.35">
      <c r="A73" s="6">
        <f t="shared" si="1"/>
        <v>72</v>
      </c>
      <c r="B73" s="7" t="s">
        <v>72</v>
      </c>
      <c r="C73" s="8" t="s">
        <v>578</v>
      </c>
      <c r="D73" s="7" t="s">
        <v>427</v>
      </c>
      <c r="E73" s="7" t="s">
        <v>515</v>
      </c>
      <c r="F73" s="7" t="s">
        <v>541</v>
      </c>
      <c r="G73" s="7" t="s">
        <v>545</v>
      </c>
      <c r="H73" s="7" t="s">
        <v>558</v>
      </c>
      <c r="I73" s="2">
        <v>53.424000000000007</v>
      </c>
      <c r="J73" s="7">
        <v>3</v>
      </c>
      <c r="K73" s="7">
        <v>0</v>
      </c>
      <c r="L73" s="7">
        <v>14.940000000000001</v>
      </c>
    </row>
    <row r="74" spans="1:12" x14ac:dyDescent="0.35">
      <c r="A74" s="9">
        <f t="shared" si="1"/>
        <v>73</v>
      </c>
      <c r="B74" s="10" t="s">
        <v>73</v>
      </c>
      <c r="C74" s="11" t="s">
        <v>573</v>
      </c>
      <c r="D74" s="10" t="s">
        <v>428</v>
      </c>
      <c r="E74" s="10" t="s">
        <v>521</v>
      </c>
      <c r="F74" s="10" t="s">
        <v>539</v>
      </c>
      <c r="G74" s="10" t="s">
        <v>544</v>
      </c>
      <c r="H74" s="10" t="s">
        <v>549</v>
      </c>
      <c r="I74" s="1">
        <v>8.1600000000000019</v>
      </c>
      <c r="J74" s="10">
        <v>7</v>
      </c>
      <c r="K74" s="10">
        <v>0.2</v>
      </c>
      <c r="L74" s="10">
        <v>64.680000000000007</v>
      </c>
    </row>
    <row r="75" spans="1:12" x14ac:dyDescent="0.35">
      <c r="A75" s="6">
        <f t="shared" si="1"/>
        <v>74</v>
      </c>
      <c r="B75" s="7" t="s">
        <v>74</v>
      </c>
      <c r="C75" s="8" t="s">
        <v>572</v>
      </c>
      <c r="D75" s="7" t="s">
        <v>428</v>
      </c>
      <c r="E75" s="7" t="s">
        <v>521</v>
      </c>
      <c r="F75" s="7" t="s">
        <v>539</v>
      </c>
      <c r="G75" s="7" t="s">
        <v>544</v>
      </c>
      <c r="H75" s="7" t="s">
        <v>553</v>
      </c>
      <c r="I75" s="2">
        <v>1023.9360000000001</v>
      </c>
      <c r="J75" s="7">
        <v>5</v>
      </c>
      <c r="K75" s="7">
        <v>0.2</v>
      </c>
      <c r="L75" s="7">
        <v>22</v>
      </c>
    </row>
    <row r="76" spans="1:12" x14ac:dyDescent="0.35">
      <c r="A76" s="9">
        <f t="shared" si="1"/>
        <v>75</v>
      </c>
      <c r="B76" s="10" t="s">
        <v>75</v>
      </c>
      <c r="C76" s="11" t="s">
        <v>571</v>
      </c>
      <c r="D76" s="10" t="s">
        <v>428</v>
      </c>
      <c r="E76" s="10" t="s">
        <v>521</v>
      </c>
      <c r="F76" s="10" t="s">
        <v>539</v>
      </c>
      <c r="G76" s="10" t="s">
        <v>545</v>
      </c>
      <c r="H76" s="10" t="s">
        <v>552</v>
      </c>
      <c r="I76" s="1">
        <v>9.24</v>
      </c>
      <c r="J76" s="10">
        <v>2</v>
      </c>
      <c r="K76" s="10">
        <v>0.2</v>
      </c>
      <c r="L76" s="10">
        <v>7.9680000000000009</v>
      </c>
    </row>
    <row r="77" spans="1:12" x14ac:dyDescent="0.35">
      <c r="A77" s="6">
        <f t="shared" si="1"/>
        <v>76</v>
      </c>
      <c r="B77" s="7" t="s">
        <v>76</v>
      </c>
      <c r="C77" s="8" t="s">
        <v>571</v>
      </c>
      <c r="D77" s="7" t="s">
        <v>414</v>
      </c>
      <c r="E77" s="7" t="s">
        <v>508</v>
      </c>
      <c r="F77" s="7" t="s">
        <v>541</v>
      </c>
      <c r="G77" s="7" t="s">
        <v>545</v>
      </c>
      <c r="H77" s="7" t="s">
        <v>556</v>
      </c>
      <c r="I77" s="2">
        <v>479.04</v>
      </c>
      <c r="J77" s="7">
        <v>5</v>
      </c>
      <c r="K77" s="7">
        <v>0.4</v>
      </c>
      <c r="L77" s="7">
        <v>1499.9699999999998</v>
      </c>
    </row>
    <row r="78" spans="1:12" x14ac:dyDescent="0.35">
      <c r="A78" s="9">
        <f t="shared" si="1"/>
        <v>77</v>
      </c>
      <c r="B78" s="10" t="s">
        <v>77</v>
      </c>
      <c r="C78" s="11" t="s">
        <v>572</v>
      </c>
      <c r="D78" s="10" t="s">
        <v>414</v>
      </c>
      <c r="E78" s="10" t="s">
        <v>508</v>
      </c>
      <c r="F78" s="10" t="s">
        <v>541</v>
      </c>
      <c r="G78" s="10" t="s">
        <v>544</v>
      </c>
      <c r="H78" s="10" t="s">
        <v>553</v>
      </c>
      <c r="I78" s="1">
        <v>99.13600000000001</v>
      </c>
      <c r="J78" s="10">
        <v>1</v>
      </c>
      <c r="K78" s="10">
        <v>0.2</v>
      </c>
      <c r="L78" s="10">
        <v>26.632000000000001</v>
      </c>
    </row>
    <row r="79" spans="1:12" x14ac:dyDescent="0.35">
      <c r="A79" s="6">
        <f t="shared" si="1"/>
        <v>78</v>
      </c>
      <c r="B79" s="7" t="s">
        <v>78</v>
      </c>
      <c r="C79" s="8" t="s">
        <v>571</v>
      </c>
      <c r="D79" s="7" t="s">
        <v>414</v>
      </c>
      <c r="E79" s="7" t="s">
        <v>508</v>
      </c>
      <c r="F79" s="7" t="s">
        <v>541</v>
      </c>
      <c r="G79" s="7" t="s">
        <v>545</v>
      </c>
      <c r="H79" s="7" t="s">
        <v>552</v>
      </c>
      <c r="I79" s="2">
        <v>1488.4239999999998</v>
      </c>
      <c r="J79" s="7">
        <v>4</v>
      </c>
      <c r="K79" s="7">
        <v>0</v>
      </c>
      <c r="L79" s="7">
        <v>41.6</v>
      </c>
    </row>
    <row r="80" spans="1:12" x14ac:dyDescent="0.35">
      <c r="A80" s="9">
        <f t="shared" si="1"/>
        <v>79</v>
      </c>
      <c r="B80" s="10" t="s">
        <v>79</v>
      </c>
      <c r="C80" s="11" t="s">
        <v>573</v>
      </c>
      <c r="D80" s="10" t="s">
        <v>414</v>
      </c>
      <c r="E80" s="10" t="s">
        <v>508</v>
      </c>
      <c r="F80" s="10" t="s">
        <v>541</v>
      </c>
      <c r="G80" s="10" t="s">
        <v>544</v>
      </c>
      <c r="H80" s="10" t="s">
        <v>553</v>
      </c>
      <c r="I80" s="1">
        <v>8.6519999999999975</v>
      </c>
      <c r="J80" s="10">
        <v>6</v>
      </c>
      <c r="K80" s="10">
        <v>0</v>
      </c>
      <c r="L80" s="10">
        <v>64.02</v>
      </c>
    </row>
    <row r="81" spans="1:12" x14ac:dyDescent="0.35">
      <c r="A81" s="6">
        <f t="shared" si="1"/>
        <v>80</v>
      </c>
      <c r="B81" s="7" t="s">
        <v>80</v>
      </c>
      <c r="C81" s="8" t="s">
        <v>574</v>
      </c>
      <c r="D81" s="7" t="s">
        <v>429</v>
      </c>
      <c r="E81" s="7" t="s">
        <v>522</v>
      </c>
      <c r="F81" s="7" t="s">
        <v>539</v>
      </c>
      <c r="G81" s="7" t="s">
        <v>545</v>
      </c>
      <c r="H81" s="7" t="s">
        <v>557</v>
      </c>
      <c r="I81" s="2">
        <v>23.832000000000001</v>
      </c>
      <c r="J81" s="7">
        <v>3</v>
      </c>
      <c r="K81" s="7">
        <v>0</v>
      </c>
      <c r="L81" s="7">
        <v>6.99</v>
      </c>
    </row>
    <row r="82" spans="1:12" x14ac:dyDescent="0.35">
      <c r="A82" s="9">
        <f t="shared" si="1"/>
        <v>81</v>
      </c>
      <c r="B82" s="10" t="s">
        <v>81</v>
      </c>
      <c r="C82" s="11" t="s">
        <v>571</v>
      </c>
      <c r="D82" s="10" t="s">
        <v>429</v>
      </c>
      <c r="E82" s="10" t="s">
        <v>522</v>
      </c>
      <c r="F82" s="10" t="s">
        <v>539</v>
      </c>
      <c r="G82" s="10" t="s">
        <v>545</v>
      </c>
      <c r="H82" s="10" t="s">
        <v>556</v>
      </c>
      <c r="I82" s="1">
        <v>12.175999999999998</v>
      </c>
      <c r="J82" s="10">
        <v>1</v>
      </c>
      <c r="K82" s="10">
        <v>0</v>
      </c>
      <c r="L82" s="10">
        <v>6.84</v>
      </c>
    </row>
    <row r="83" spans="1:12" x14ac:dyDescent="0.35">
      <c r="A83" s="6">
        <f t="shared" si="1"/>
        <v>82</v>
      </c>
      <c r="B83" s="7" t="s">
        <v>82</v>
      </c>
      <c r="C83" s="8" t="s">
        <v>575</v>
      </c>
      <c r="D83" s="7" t="s">
        <v>410</v>
      </c>
      <c r="E83" s="7" t="s">
        <v>504</v>
      </c>
      <c r="F83" s="7" t="s">
        <v>540</v>
      </c>
      <c r="G83" s="7" t="s">
        <v>545</v>
      </c>
      <c r="H83" s="7" t="s">
        <v>554</v>
      </c>
      <c r="I83" s="2">
        <v>50.96</v>
      </c>
      <c r="J83" s="7">
        <v>2</v>
      </c>
      <c r="K83" s="7">
        <v>0</v>
      </c>
      <c r="L83" s="7">
        <v>323.10000000000002</v>
      </c>
    </row>
    <row r="84" spans="1:12" x14ac:dyDescent="0.35">
      <c r="A84" s="9">
        <f t="shared" si="1"/>
        <v>83</v>
      </c>
      <c r="B84" s="10" t="s">
        <v>83</v>
      </c>
      <c r="C84" s="11" t="s">
        <v>576</v>
      </c>
      <c r="D84" s="10" t="s">
        <v>410</v>
      </c>
      <c r="E84" s="10" t="s">
        <v>504</v>
      </c>
      <c r="F84" s="10" t="s">
        <v>540</v>
      </c>
      <c r="G84" s="10" t="s">
        <v>545</v>
      </c>
      <c r="H84" s="10" t="s">
        <v>552</v>
      </c>
      <c r="I84" s="1">
        <v>49.536000000000001</v>
      </c>
      <c r="J84" s="10">
        <v>9</v>
      </c>
      <c r="K84" s="10">
        <v>0.2</v>
      </c>
      <c r="L84" s="10">
        <v>668.16</v>
      </c>
    </row>
    <row r="85" spans="1:12" x14ac:dyDescent="0.35">
      <c r="A85" s="6">
        <f t="shared" si="1"/>
        <v>84</v>
      </c>
      <c r="B85" s="7" t="s">
        <v>84</v>
      </c>
      <c r="C85" s="8" t="s">
        <v>577</v>
      </c>
      <c r="D85" s="7" t="s">
        <v>430</v>
      </c>
      <c r="E85" s="7" t="s">
        <v>506</v>
      </c>
      <c r="F85" s="7" t="s">
        <v>539</v>
      </c>
      <c r="G85" s="7" t="s">
        <v>545</v>
      </c>
      <c r="H85" s="7" t="s">
        <v>560</v>
      </c>
      <c r="I85" s="2">
        <v>41.9</v>
      </c>
      <c r="J85" s="7">
        <v>3</v>
      </c>
      <c r="K85" s="7">
        <v>0</v>
      </c>
      <c r="L85" s="7">
        <v>8.64</v>
      </c>
    </row>
    <row r="86" spans="1:12" x14ac:dyDescent="0.35">
      <c r="A86" s="9">
        <f t="shared" si="1"/>
        <v>85</v>
      </c>
      <c r="B86" s="10" t="s">
        <v>85</v>
      </c>
      <c r="C86" s="11" t="s">
        <v>573</v>
      </c>
      <c r="D86" s="10" t="s">
        <v>424</v>
      </c>
      <c r="E86" s="10" t="s">
        <v>513</v>
      </c>
      <c r="F86" s="10" t="s">
        <v>541</v>
      </c>
      <c r="G86" s="10" t="s">
        <v>545</v>
      </c>
      <c r="H86" s="10" t="s">
        <v>552</v>
      </c>
      <c r="I86" s="1">
        <v>375.45750000000004</v>
      </c>
      <c r="J86" s="10">
        <v>6</v>
      </c>
      <c r="K86" s="10">
        <v>0</v>
      </c>
      <c r="L86" s="10">
        <v>38.880000000000003</v>
      </c>
    </row>
    <row r="87" spans="1:12" x14ac:dyDescent="0.35">
      <c r="A87" s="6">
        <f t="shared" si="1"/>
        <v>86</v>
      </c>
      <c r="B87" s="7" t="s">
        <v>86</v>
      </c>
      <c r="C87" s="8" t="s">
        <v>571</v>
      </c>
      <c r="D87" s="7" t="s">
        <v>431</v>
      </c>
      <c r="E87" s="7" t="s">
        <v>523</v>
      </c>
      <c r="F87" s="7" t="s">
        <v>539</v>
      </c>
      <c r="G87" s="7" t="s">
        <v>544</v>
      </c>
      <c r="H87" s="7" t="s">
        <v>549</v>
      </c>
      <c r="I87" s="2">
        <v>83.976000000000013</v>
      </c>
      <c r="J87" s="7">
        <v>8</v>
      </c>
      <c r="K87" s="7">
        <v>0</v>
      </c>
      <c r="L87" s="7">
        <v>201.04</v>
      </c>
    </row>
    <row r="88" spans="1:12" x14ac:dyDescent="0.35">
      <c r="A88" s="9">
        <f t="shared" si="1"/>
        <v>87</v>
      </c>
      <c r="B88" s="10" t="s">
        <v>87</v>
      </c>
      <c r="C88" s="11" t="s">
        <v>578</v>
      </c>
      <c r="D88" s="10" t="s">
        <v>432</v>
      </c>
      <c r="E88" s="10" t="s">
        <v>514</v>
      </c>
      <c r="F88" s="10" t="s">
        <v>541</v>
      </c>
      <c r="G88" s="10" t="s">
        <v>546</v>
      </c>
      <c r="H88" s="10" t="s">
        <v>559</v>
      </c>
      <c r="I88" s="1">
        <v>482.34000000000003</v>
      </c>
      <c r="J88" s="10">
        <v>2</v>
      </c>
      <c r="K88" s="10">
        <v>0</v>
      </c>
      <c r="L88" s="10">
        <v>12.96</v>
      </c>
    </row>
    <row r="89" spans="1:12" x14ac:dyDescent="0.35">
      <c r="A89" s="6">
        <f t="shared" si="1"/>
        <v>88</v>
      </c>
      <c r="B89" s="7" t="s">
        <v>88</v>
      </c>
      <c r="C89" s="8" t="s">
        <v>573</v>
      </c>
      <c r="D89" s="7" t="s">
        <v>432</v>
      </c>
      <c r="E89" s="7" t="s">
        <v>514</v>
      </c>
      <c r="F89" s="7" t="s">
        <v>541</v>
      </c>
      <c r="G89" s="7" t="s">
        <v>545</v>
      </c>
      <c r="H89" s="7" t="s">
        <v>550</v>
      </c>
      <c r="I89" s="2">
        <v>2.9600000000000004</v>
      </c>
      <c r="J89" s="7">
        <v>1</v>
      </c>
      <c r="K89" s="7">
        <v>0</v>
      </c>
      <c r="L89" s="7">
        <v>16.59</v>
      </c>
    </row>
    <row r="90" spans="1:12" x14ac:dyDescent="0.35">
      <c r="A90" s="9">
        <f t="shared" si="1"/>
        <v>89</v>
      </c>
      <c r="B90" s="10" t="s">
        <v>89</v>
      </c>
      <c r="C90" s="11" t="s">
        <v>572</v>
      </c>
      <c r="D90" s="10" t="s">
        <v>414</v>
      </c>
      <c r="E90" s="10" t="s">
        <v>508</v>
      </c>
      <c r="F90" s="10" t="s">
        <v>541</v>
      </c>
      <c r="G90" s="10" t="s">
        <v>545</v>
      </c>
      <c r="H90" s="10" t="s">
        <v>552</v>
      </c>
      <c r="I90" s="1">
        <v>2.6240000000000001</v>
      </c>
      <c r="J90" s="10">
        <v>6</v>
      </c>
      <c r="K90" s="10">
        <v>0</v>
      </c>
      <c r="L90" s="10">
        <v>35.099999999999994</v>
      </c>
    </row>
    <row r="91" spans="1:12" x14ac:dyDescent="0.35">
      <c r="A91" s="6">
        <f t="shared" si="1"/>
        <v>90</v>
      </c>
      <c r="B91" s="7" t="s">
        <v>90</v>
      </c>
      <c r="C91" s="8" t="s">
        <v>571</v>
      </c>
      <c r="D91" s="7" t="s">
        <v>403</v>
      </c>
      <c r="E91" s="7" t="s">
        <v>504</v>
      </c>
      <c r="F91" s="7" t="s">
        <v>540</v>
      </c>
      <c r="G91" s="7" t="s">
        <v>545</v>
      </c>
      <c r="H91" s="7" t="s">
        <v>554</v>
      </c>
      <c r="I91" s="2">
        <v>23.36</v>
      </c>
      <c r="J91" s="7">
        <v>9</v>
      </c>
      <c r="K91" s="7">
        <v>0.8</v>
      </c>
      <c r="L91" s="7">
        <v>11.645999999999997</v>
      </c>
    </row>
    <row r="92" spans="1:12" x14ac:dyDescent="0.35">
      <c r="A92" s="9">
        <f t="shared" si="1"/>
        <v>91</v>
      </c>
      <c r="B92" s="10" t="s">
        <v>91</v>
      </c>
      <c r="C92" s="11" t="s">
        <v>571</v>
      </c>
      <c r="D92" s="10" t="s">
        <v>403</v>
      </c>
      <c r="E92" s="10" t="s">
        <v>504</v>
      </c>
      <c r="F92" s="10" t="s">
        <v>540</v>
      </c>
      <c r="G92" s="10" t="s">
        <v>546</v>
      </c>
      <c r="H92" s="10" t="s">
        <v>555</v>
      </c>
      <c r="I92" s="1">
        <v>39.979999999999997</v>
      </c>
      <c r="J92" s="10">
        <v>5</v>
      </c>
      <c r="K92" s="10">
        <v>0</v>
      </c>
      <c r="L92" s="10">
        <v>32.400000000000006</v>
      </c>
    </row>
    <row r="93" spans="1:12" x14ac:dyDescent="0.35">
      <c r="A93" s="6">
        <f t="shared" si="1"/>
        <v>92</v>
      </c>
      <c r="B93" s="7" t="s">
        <v>92</v>
      </c>
      <c r="C93" s="8" t="s">
        <v>572</v>
      </c>
      <c r="D93" s="7" t="s">
        <v>403</v>
      </c>
      <c r="E93" s="7" t="s">
        <v>504</v>
      </c>
      <c r="F93" s="7" t="s">
        <v>540</v>
      </c>
      <c r="G93" s="7" t="s">
        <v>545</v>
      </c>
      <c r="H93" s="7" t="s">
        <v>558</v>
      </c>
      <c r="I93" s="2">
        <v>246.38400000000001</v>
      </c>
      <c r="J93" s="7">
        <v>4</v>
      </c>
      <c r="K93" s="7">
        <v>0</v>
      </c>
      <c r="L93" s="7">
        <v>503.96</v>
      </c>
    </row>
    <row r="94" spans="1:12" x14ac:dyDescent="0.35">
      <c r="A94" s="9">
        <f t="shared" si="1"/>
        <v>93</v>
      </c>
      <c r="B94" s="10" t="s">
        <v>93</v>
      </c>
      <c r="C94" s="11" t="s">
        <v>571</v>
      </c>
      <c r="D94" s="10" t="s">
        <v>433</v>
      </c>
      <c r="E94" s="10" t="s">
        <v>514</v>
      </c>
      <c r="F94" s="10" t="s">
        <v>541</v>
      </c>
      <c r="G94" s="10" t="s">
        <v>545</v>
      </c>
      <c r="H94" s="10" t="s">
        <v>558</v>
      </c>
      <c r="I94" s="1">
        <v>1799.97</v>
      </c>
      <c r="J94" s="10">
        <v>4</v>
      </c>
      <c r="K94" s="10">
        <v>0</v>
      </c>
      <c r="L94" s="10">
        <v>7.04</v>
      </c>
    </row>
    <row r="95" spans="1:12" x14ac:dyDescent="0.35">
      <c r="A95" s="6">
        <f t="shared" si="1"/>
        <v>94</v>
      </c>
      <c r="B95" s="7" t="s">
        <v>94</v>
      </c>
      <c r="C95" s="8" t="s">
        <v>573</v>
      </c>
      <c r="D95" s="7" t="s">
        <v>433</v>
      </c>
      <c r="E95" s="7" t="s">
        <v>514</v>
      </c>
      <c r="F95" s="7" t="s">
        <v>541</v>
      </c>
      <c r="G95" s="7" t="s">
        <v>544</v>
      </c>
      <c r="H95" s="7" t="s">
        <v>553</v>
      </c>
      <c r="I95" s="2">
        <v>12.461999999999996</v>
      </c>
      <c r="J95" s="7">
        <v>3</v>
      </c>
      <c r="K95" s="7">
        <v>0.32</v>
      </c>
      <c r="L95" s="7">
        <v>613.99919999999997</v>
      </c>
    </row>
    <row r="96" spans="1:12" x14ac:dyDescent="0.35">
      <c r="A96" s="9">
        <f t="shared" si="1"/>
        <v>95</v>
      </c>
      <c r="B96" s="10" t="s">
        <v>95</v>
      </c>
      <c r="C96" s="11" t="s">
        <v>574</v>
      </c>
      <c r="D96" s="10" t="s">
        <v>433</v>
      </c>
      <c r="E96" s="10" t="s">
        <v>514</v>
      </c>
      <c r="F96" s="10" t="s">
        <v>541</v>
      </c>
      <c r="G96" s="10" t="s">
        <v>545</v>
      </c>
      <c r="H96" s="10" t="s">
        <v>556</v>
      </c>
      <c r="I96" s="1">
        <v>75.792000000000002</v>
      </c>
      <c r="J96" s="10">
        <v>11</v>
      </c>
      <c r="K96" s="10">
        <v>0</v>
      </c>
      <c r="L96" s="10">
        <v>470.35999999999996</v>
      </c>
    </row>
    <row r="97" spans="1:12" x14ac:dyDescent="0.35">
      <c r="A97" s="6">
        <f t="shared" si="1"/>
        <v>96</v>
      </c>
      <c r="B97" s="7" t="s">
        <v>96</v>
      </c>
      <c r="C97" s="8" t="s">
        <v>571</v>
      </c>
      <c r="D97" s="7" t="s">
        <v>434</v>
      </c>
      <c r="E97" s="7" t="s">
        <v>524</v>
      </c>
      <c r="F97" s="7" t="s">
        <v>540</v>
      </c>
      <c r="G97" s="7" t="s">
        <v>545</v>
      </c>
      <c r="H97" s="7" t="s">
        <v>556</v>
      </c>
      <c r="I97" s="2">
        <v>49.96</v>
      </c>
      <c r="J97" s="7">
        <v>6</v>
      </c>
      <c r="K97" s="7">
        <v>0</v>
      </c>
      <c r="L97" s="7">
        <v>31.08</v>
      </c>
    </row>
    <row r="98" spans="1:12" x14ac:dyDescent="0.35">
      <c r="A98" s="9">
        <f t="shared" si="1"/>
        <v>97</v>
      </c>
      <c r="B98" s="10" t="s">
        <v>97</v>
      </c>
      <c r="C98" s="11" t="s">
        <v>575</v>
      </c>
      <c r="D98" s="10" t="s">
        <v>422</v>
      </c>
      <c r="E98" s="10" t="s">
        <v>518</v>
      </c>
      <c r="F98" s="10" t="s">
        <v>542</v>
      </c>
      <c r="G98" s="10" t="s">
        <v>544</v>
      </c>
      <c r="H98" s="10" t="s">
        <v>553</v>
      </c>
      <c r="I98" s="1">
        <v>12.96</v>
      </c>
      <c r="J98" s="10">
        <v>2</v>
      </c>
      <c r="K98" s="10">
        <v>0</v>
      </c>
      <c r="L98" s="10">
        <v>7.3</v>
      </c>
    </row>
    <row r="99" spans="1:12" x14ac:dyDescent="0.35">
      <c r="A99" s="6">
        <f t="shared" si="1"/>
        <v>98</v>
      </c>
      <c r="B99" s="7" t="s">
        <v>98</v>
      </c>
      <c r="C99" s="8" t="s">
        <v>576</v>
      </c>
      <c r="D99" s="7" t="s">
        <v>410</v>
      </c>
      <c r="E99" s="7" t="s">
        <v>504</v>
      </c>
      <c r="F99" s="7" t="s">
        <v>540</v>
      </c>
      <c r="G99" s="7" t="s">
        <v>545</v>
      </c>
      <c r="H99" s="7" t="s">
        <v>556</v>
      </c>
      <c r="I99" s="2">
        <v>70.12</v>
      </c>
      <c r="J99" s="7">
        <v>4</v>
      </c>
      <c r="K99" s="7">
        <v>0.2</v>
      </c>
      <c r="L99" s="7">
        <v>73.536000000000001</v>
      </c>
    </row>
    <row r="100" spans="1:12" x14ac:dyDescent="0.35">
      <c r="A100" s="9">
        <f t="shared" si="1"/>
        <v>99</v>
      </c>
      <c r="B100" s="10" t="s">
        <v>99</v>
      </c>
      <c r="C100" s="11" t="s">
        <v>577</v>
      </c>
      <c r="D100" s="10" t="s">
        <v>435</v>
      </c>
      <c r="E100" s="10" t="s">
        <v>514</v>
      </c>
      <c r="F100" s="10" t="s">
        <v>541</v>
      </c>
      <c r="G100" s="10" t="s">
        <v>545</v>
      </c>
      <c r="H100" s="10" t="s">
        <v>557</v>
      </c>
      <c r="I100" s="1">
        <v>35.952000000000005</v>
      </c>
      <c r="J100" s="10">
        <v>5</v>
      </c>
      <c r="K100" s="10">
        <v>0</v>
      </c>
      <c r="L100" s="10">
        <v>491.55</v>
      </c>
    </row>
    <row r="101" spans="1:12" x14ac:dyDescent="0.35">
      <c r="A101" s="6">
        <f t="shared" si="1"/>
        <v>100</v>
      </c>
      <c r="B101" s="7" t="s">
        <v>100</v>
      </c>
      <c r="C101" s="8" t="s">
        <v>573</v>
      </c>
      <c r="D101" s="7" t="s">
        <v>424</v>
      </c>
      <c r="E101" s="7" t="s">
        <v>513</v>
      </c>
      <c r="F101" s="7" t="s">
        <v>541</v>
      </c>
      <c r="G101" s="7" t="s">
        <v>545</v>
      </c>
      <c r="H101" s="7" t="s">
        <v>558</v>
      </c>
      <c r="I101" s="2">
        <v>2396.2655999999997</v>
      </c>
      <c r="J101" s="7">
        <v>4</v>
      </c>
      <c r="K101" s="7">
        <v>0.2</v>
      </c>
      <c r="L101" s="7">
        <v>30.336000000000002</v>
      </c>
    </row>
    <row r="102" spans="1:12" x14ac:dyDescent="0.35">
      <c r="A102" s="9">
        <f t="shared" si="1"/>
        <v>101</v>
      </c>
      <c r="B102" s="10" t="s">
        <v>101</v>
      </c>
      <c r="C102" s="11" t="s">
        <v>571</v>
      </c>
      <c r="D102" s="10" t="s">
        <v>424</v>
      </c>
      <c r="E102" s="10" t="s">
        <v>513</v>
      </c>
      <c r="F102" s="10" t="s">
        <v>541</v>
      </c>
      <c r="G102" s="10" t="s">
        <v>546</v>
      </c>
      <c r="H102" s="10" t="s">
        <v>559</v>
      </c>
      <c r="I102" s="1">
        <v>131.136</v>
      </c>
      <c r="J102" s="10">
        <v>3</v>
      </c>
      <c r="K102" s="10">
        <v>0</v>
      </c>
      <c r="L102" s="10">
        <v>22.830000000000002</v>
      </c>
    </row>
    <row r="103" spans="1:12" x14ac:dyDescent="0.35">
      <c r="A103" s="6">
        <f t="shared" si="1"/>
        <v>102</v>
      </c>
      <c r="B103" s="7" t="s">
        <v>102</v>
      </c>
      <c r="C103" s="8" t="s">
        <v>578</v>
      </c>
      <c r="D103" s="7" t="s">
        <v>424</v>
      </c>
      <c r="E103" s="7" t="s">
        <v>513</v>
      </c>
      <c r="F103" s="7" t="s">
        <v>541</v>
      </c>
      <c r="G103" s="7" t="s">
        <v>545</v>
      </c>
      <c r="H103" s="7" t="s">
        <v>556</v>
      </c>
      <c r="I103" s="2">
        <v>57.584000000000003</v>
      </c>
      <c r="J103" s="7">
        <v>4</v>
      </c>
      <c r="K103" s="7">
        <v>0</v>
      </c>
      <c r="L103" s="7">
        <v>54.32</v>
      </c>
    </row>
    <row r="104" spans="1:12" x14ac:dyDescent="0.35">
      <c r="A104" s="9">
        <f t="shared" si="1"/>
        <v>103</v>
      </c>
      <c r="B104" s="10" t="s">
        <v>103</v>
      </c>
      <c r="C104" s="11" t="s">
        <v>573</v>
      </c>
      <c r="D104" s="10" t="s">
        <v>432</v>
      </c>
      <c r="E104" s="10" t="s">
        <v>514</v>
      </c>
      <c r="F104" s="10" t="s">
        <v>541</v>
      </c>
      <c r="G104" s="10" t="s">
        <v>545</v>
      </c>
      <c r="H104" s="10" t="s">
        <v>558</v>
      </c>
      <c r="I104" s="1">
        <v>9.5680000000000014</v>
      </c>
      <c r="J104" s="10">
        <v>3</v>
      </c>
      <c r="K104" s="10">
        <v>0.2</v>
      </c>
      <c r="L104" s="10">
        <v>196.77600000000001</v>
      </c>
    </row>
    <row r="105" spans="1:12" x14ac:dyDescent="0.35">
      <c r="A105" s="6">
        <f t="shared" si="1"/>
        <v>104</v>
      </c>
      <c r="B105" s="7" t="s">
        <v>104</v>
      </c>
      <c r="C105" s="8" t="s">
        <v>572</v>
      </c>
      <c r="D105" s="7" t="s">
        <v>436</v>
      </c>
      <c r="E105" s="7" t="s">
        <v>525</v>
      </c>
      <c r="F105" s="7" t="s">
        <v>540</v>
      </c>
      <c r="G105" s="7" t="s">
        <v>546</v>
      </c>
      <c r="H105" s="7" t="s">
        <v>559</v>
      </c>
      <c r="I105" s="2">
        <v>39.072000000000003</v>
      </c>
      <c r="J105" s="7">
        <v>2</v>
      </c>
      <c r="K105" s="7">
        <v>0</v>
      </c>
      <c r="L105" s="7">
        <v>3.62</v>
      </c>
    </row>
    <row r="106" spans="1:12" x14ac:dyDescent="0.35">
      <c r="A106" s="9">
        <f t="shared" si="1"/>
        <v>105</v>
      </c>
      <c r="B106" s="10" t="s">
        <v>105</v>
      </c>
      <c r="C106" s="11" t="s">
        <v>571</v>
      </c>
      <c r="D106" s="10" t="s">
        <v>436</v>
      </c>
      <c r="E106" s="10" t="s">
        <v>525</v>
      </c>
      <c r="F106" s="10" t="s">
        <v>540</v>
      </c>
      <c r="G106" s="10" t="s">
        <v>544</v>
      </c>
      <c r="H106" s="10" t="s">
        <v>553</v>
      </c>
      <c r="I106" s="1">
        <v>35.910000000000004</v>
      </c>
      <c r="J106" s="10">
        <v>1</v>
      </c>
      <c r="K106" s="10">
        <v>0</v>
      </c>
      <c r="L106" s="10">
        <v>11.54</v>
      </c>
    </row>
    <row r="107" spans="1:12" x14ac:dyDescent="0.35">
      <c r="A107" s="6">
        <f t="shared" si="1"/>
        <v>106</v>
      </c>
      <c r="B107" s="7" t="s">
        <v>106</v>
      </c>
      <c r="C107" s="8" t="s">
        <v>571</v>
      </c>
      <c r="D107" s="7" t="s">
        <v>436</v>
      </c>
      <c r="E107" s="7" t="s">
        <v>525</v>
      </c>
      <c r="F107" s="7" t="s">
        <v>540</v>
      </c>
      <c r="G107" s="7" t="s">
        <v>545</v>
      </c>
      <c r="H107" s="7" t="s">
        <v>556</v>
      </c>
      <c r="I107" s="2">
        <v>179.95000000000002</v>
      </c>
      <c r="J107" s="7">
        <v>5</v>
      </c>
      <c r="K107" s="7">
        <v>0</v>
      </c>
      <c r="L107" s="7">
        <v>849.95</v>
      </c>
    </row>
    <row r="108" spans="1:12" x14ac:dyDescent="0.35">
      <c r="A108" s="9">
        <f t="shared" si="1"/>
        <v>107</v>
      </c>
      <c r="B108" s="10" t="s">
        <v>107</v>
      </c>
      <c r="C108" s="11" t="s">
        <v>572</v>
      </c>
      <c r="D108" s="10" t="s">
        <v>437</v>
      </c>
      <c r="E108" s="10" t="s">
        <v>506</v>
      </c>
      <c r="F108" s="10" t="s">
        <v>539</v>
      </c>
      <c r="G108" s="10" t="s">
        <v>546</v>
      </c>
      <c r="H108" s="10" t="s">
        <v>559</v>
      </c>
      <c r="I108" s="1">
        <v>1199.9760000000001</v>
      </c>
      <c r="J108" s="10">
        <v>3</v>
      </c>
      <c r="K108" s="10">
        <v>0</v>
      </c>
      <c r="L108" s="10">
        <v>11.01</v>
      </c>
    </row>
    <row r="109" spans="1:12" x14ac:dyDescent="0.35">
      <c r="A109" s="6">
        <f t="shared" si="1"/>
        <v>108</v>
      </c>
      <c r="B109" s="7" t="s">
        <v>108</v>
      </c>
      <c r="C109" s="8" t="s">
        <v>571</v>
      </c>
      <c r="D109" s="7" t="s">
        <v>437</v>
      </c>
      <c r="E109" s="7" t="s">
        <v>506</v>
      </c>
      <c r="F109" s="7" t="s">
        <v>539</v>
      </c>
      <c r="G109" s="7" t="s">
        <v>546</v>
      </c>
      <c r="H109" s="7" t="s">
        <v>555</v>
      </c>
      <c r="I109" s="2">
        <v>27.15</v>
      </c>
      <c r="J109" s="7">
        <v>3</v>
      </c>
      <c r="K109" s="7">
        <v>0.2</v>
      </c>
      <c r="L109" s="7">
        <v>39.624000000000009</v>
      </c>
    </row>
    <row r="110" spans="1:12" x14ac:dyDescent="0.35">
      <c r="A110" s="9">
        <f t="shared" si="1"/>
        <v>109</v>
      </c>
      <c r="B110" s="10" t="s">
        <v>109</v>
      </c>
      <c r="C110" s="11" t="s">
        <v>573</v>
      </c>
      <c r="D110" s="10" t="s">
        <v>437</v>
      </c>
      <c r="E110" s="10" t="s">
        <v>506</v>
      </c>
      <c r="F110" s="10" t="s">
        <v>539</v>
      </c>
      <c r="G110" s="10" t="s">
        <v>545</v>
      </c>
      <c r="H110" s="10" t="s">
        <v>554</v>
      </c>
      <c r="I110" s="1">
        <v>1004.0239999999999</v>
      </c>
      <c r="J110" s="10">
        <v>3</v>
      </c>
      <c r="K110" s="10">
        <v>0.2</v>
      </c>
      <c r="L110" s="10">
        <v>242.13600000000002</v>
      </c>
    </row>
    <row r="111" spans="1:12" x14ac:dyDescent="0.35">
      <c r="A111" s="6">
        <f t="shared" si="1"/>
        <v>110</v>
      </c>
      <c r="B111" s="7" t="s">
        <v>110</v>
      </c>
      <c r="C111" s="8" t="s">
        <v>574</v>
      </c>
      <c r="D111" s="7" t="s">
        <v>438</v>
      </c>
      <c r="E111" s="7" t="s">
        <v>513</v>
      </c>
      <c r="F111" s="7" t="s">
        <v>541</v>
      </c>
      <c r="G111" s="7" t="s">
        <v>546</v>
      </c>
      <c r="H111" s="7" t="s">
        <v>559</v>
      </c>
      <c r="I111" s="2">
        <v>9.68</v>
      </c>
      <c r="J111" s="7">
        <v>3</v>
      </c>
      <c r="K111" s="7">
        <v>0</v>
      </c>
      <c r="L111" s="7">
        <v>12.39</v>
      </c>
    </row>
    <row r="112" spans="1:12" x14ac:dyDescent="0.35">
      <c r="A112" s="9">
        <f t="shared" si="1"/>
        <v>111</v>
      </c>
      <c r="B112" s="10" t="s">
        <v>111</v>
      </c>
      <c r="C112" s="11" t="s">
        <v>571</v>
      </c>
      <c r="D112" s="10" t="s">
        <v>422</v>
      </c>
      <c r="E112" s="10" t="s">
        <v>518</v>
      </c>
      <c r="F112" s="10" t="s">
        <v>542</v>
      </c>
      <c r="G112" s="10" t="s">
        <v>544</v>
      </c>
      <c r="H112" s="10" t="s">
        <v>553</v>
      </c>
      <c r="I112" s="1">
        <v>28.349999999999998</v>
      </c>
      <c r="J112" s="10">
        <v>2</v>
      </c>
      <c r="K112" s="10">
        <v>0</v>
      </c>
      <c r="L112" s="10">
        <v>19.96</v>
      </c>
    </row>
    <row r="113" spans="1:12" x14ac:dyDescent="0.35">
      <c r="A113" s="6">
        <f t="shared" si="1"/>
        <v>112</v>
      </c>
      <c r="B113" s="7" t="s">
        <v>112</v>
      </c>
      <c r="C113" s="8" t="s">
        <v>575</v>
      </c>
      <c r="D113" s="7" t="s">
        <v>439</v>
      </c>
      <c r="E113" s="7" t="s">
        <v>526</v>
      </c>
      <c r="F113" s="7" t="s">
        <v>541</v>
      </c>
      <c r="G113" s="7" t="s">
        <v>545</v>
      </c>
      <c r="H113" s="7" t="s">
        <v>554</v>
      </c>
      <c r="I113" s="2">
        <v>55.98</v>
      </c>
      <c r="J113" s="7">
        <v>3</v>
      </c>
      <c r="K113" s="7">
        <v>0</v>
      </c>
      <c r="L113" s="7">
        <v>340.92</v>
      </c>
    </row>
    <row r="114" spans="1:12" x14ac:dyDescent="0.35">
      <c r="A114" s="9">
        <f t="shared" si="1"/>
        <v>113</v>
      </c>
      <c r="B114" s="10" t="s">
        <v>113</v>
      </c>
      <c r="C114" s="11" t="s">
        <v>576</v>
      </c>
      <c r="D114" s="10" t="s">
        <v>439</v>
      </c>
      <c r="E114" s="10" t="s">
        <v>526</v>
      </c>
      <c r="F114" s="10" t="s">
        <v>541</v>
      </c>
      <c r="G114" s="10" t="s">
        <v>545</v>
      </c>
      <c r="H114" s="10" t="s">
        <v>556</v>
      </c>
      <c r="I114" s="1">
        <v>1336.829</v>
      </c>
      <c r="J114" s="10">
        <v>2</v>
      </c>
      <c r="K114" s="10">
        <v>0.2</v>
      </c>
      <c r="L114" s="10">
        <v>273.56799999999998</v>
      </c>
    </row>
    <row r="115" spans="1:12" x14ac:dyDescent="0.35">
      <c r="A115" s="6">
        <f t="shared" si="1"/>
        <v>114</v>
      </c>
      <c r="B115" s="7" t="s">
        <v>114</v>
      </c>
      <c r="C115" s="8" t="s">
        <v>577</v>
      </c>
      <c r="D115" s="7" t="s">
        <v>440</v>
      </c>
      <c r="E115" s="7" t="s">
        <v>527</v>
      </c>
      <c r="F115" s="7" t="s">
        <v>542</v>
      </c>
      <c r="G115" s="7" t="s">
        <v>545</v>
      </c>
      <c r="H115" s="7" t="s">
        <v>561</v>
      </c>
      <c r="I115" s="2">
        <v>113.56800000000001</v>
      </c>
      <c r="J115" s="7">
        <v>2</v>
      </c>
      <c r="K115" s="7">
        <v>0.7</v>
      </c>
      <c r="L115" s="7">
        <v>13.194000000000001</v>
      </c>
    </row>
    <row r="116" spans="1:12" x14ac:dyDescent="0.35">
      <c r="A116" s="9">
        <f t="shared" si="1"/>
        <v>115</v>
      </c>
      <c r="B116" s="10" t="s">
        <v>115</v>
      </c>
      <c r="C116" s="11" t="s">
        <v>573</v>
      </c>
      <c r="D116" s="10" t="s">
        <v>440</v>
      </c>
      <c r="E116" s="10" t="s">
        <v>527</v>
      </c>
      <c r="F116" s="10" t="s">
        <v>542</v>
      </c>
      <c r="G116" s="10" t="s">
        <v>545</v>
      </c>
      <c r="H116" s="10" t="s">
        <v>560</v>
      </c>
      <c r="I116" s="1">
        <v>139.86000000000001</v>
      </c>
      <c r="J116" s="10">
        <v>6</v>
      </c>
      <c r="K116" s="10">
        <v>0.2</v>
      </c>
      <c r="L116" s="10">
        <v>1080.096</v>
      </c>
    </row>
    <row r="117" spans="1:12" x14ac:dyDescent="0.35">
      <c r="A117" s="6">
        <f t="shared" si="1"/>
        <v>116</v>
      </c>
      <c r="B117" s="7" t="s">
        <v>116</v>
      </c>
      <c r="C117" s="8" t="s">
        <v>571</v>
      </c>
      <c r="D117" s="7" t="s">
        <v>440</v>
      </c>
      <c r="E117" s="7" t="s">
        <v>527</v>
      </c>
      <c r="F117" s="7" t="s">
        <v>542</v>
      </c>
      <c r="G117" s="7" t="s">
        <v>545</v>
      </c>
      <c r="H117" s="7" t="s">
        <v>558</v>
      </c>
      <c r="I117" s="2">
        <v>307.13600000000002</v>
      </c>
      <c r="J117" s="7">
        <v>5</v>
      </c>
      <c r="K117" s="7">
        <v>0.2</v>
      </c>
      <c r="L117" s="7">
        <v>51.56</v>
      </c>
    </row>
    <row r="118" spans="1:12" x14ac:dyDescent="0.35">
      <c r="A118" s="9">
        <f t="shared" si="1"/>
        <v>117</v>
      </c>
      <c r="B118" s="10" t="s">
        <v>117</v>
      </c>
      <c r="C118" s="11" t="s">
        <v>578</v>
      </c>
      <c r="D118" s="10" t="s">
        <v>440</v>
      </c>
      <c r="E118" s="10" t="s">
        <v>527</v>
      </c>
      <c r="F118" s="10" t="s">
        <v>542</v>
      </c>
      <c r="G118" s="10" t="s">
        <v>545</v>
      </c>
      <c r="H118" s="10" t="s">
        <v>560</v>
      </c>
      <c r="I118" s="1">
        <v>95.92</v>
      </c>
      <c r="J118" s="10">
        <v>2</v>
      </c>
      <c r="K118" s="10">
        <v>0.2</v>
      </c>
      <c r="L118" s="10">
        <v>58.415999999999997</v>
      </c>
    </row>
    <row r="119" spans="1:12" x14ac:dyDescent="0.35">
      <c r="A119" s="6">
        <f t="shared" si="1"/>
        <v>118</v>
      </c>
      <c r="B119" s="7" t="s">
        <v>118</v>
      </c>
      <c r="C119" s="8" t="s">
        <v>573</v>
      </c>
      <c r="D119" s="7" t="s">
        <v>406</v>
      </c>
      <c r="E119" s="7" t="s">
        <v>507</v>
      </c>
      <c r="F119" s="7" t="s">
        <v>540</v>
      </c>
      <c r="G119" s="7" t="s">
        <v>544</v>
      </c>
      <c r="H119" s="7" t="s">
        <v>551</v>
      </c>
      <c r="I119" s="2">
        <v>383.8</v>
      </c>
      <c r="J119" s="7">
        <v>2</v>
      </c>
      <c r="K119" s="7">
        <v>0.2</v>
      </c>
      <c r="L119" s="7">
        <v>57.584000000000003</v>
      </c>
    </row>
    <row r="120" spans="1:12" x14ac:dyDescent="0.35">
      <c r="A120" s="9">
        <f t="shared" si="1"/>
        <v>119</v>
      </c>
      <c r="B120" s="10" t="s">
        <v>119</v>
      </c>
      <c r="C120" s="11" t="s">
        <v>572</v>
      </c>
      <c r="D120" s="10" t="s">
        <v>441</v>
      </c>
      <c r="E120" s="10" t="s">
        <v>521</v>
      </c>
      <c r="F120" s="10" t="s">
        <v>539</v>
      </c>
      <c r="G120" s="10" t="s">
        <v>545</v>
      </c>
      <c r="H120" s="10" t="s">
        <v>556</v>
      </c>
      <c r="I120" s="1">
        <v>5.78</v>
      </c>
      <c r="J120" s="10">
        <v>4</v>
      </c>
      <c r="K120" s="10">
        <v>0.2</v>
      </c>
      <c r="L120" s="10">
        <v>37.312000000000005</v>
      </c>
    </row>
    <row r="121" spans="1:12" x14ac:dyDescent="0.35">
      <c r="A121" s="6">
        <f t="shared" si="1"/>
        <v>120</v>
      </c>
      <c r="B121" s="7" t="s">
        <v>120</v>
      </c>
      <c r="C121" s="8" t="s">
        <v>571</v>
      </c>
      <c r="D121" s="7" t="s">
        <v>442</v>
      </c>
      <c r="E121" s="7" t="s">
        <v>516</v>
      </c>
      <c r="F121" s="7" t="s">
        <v>542</v>
      </c>
      <c r="G121" s="7" t="s">
        <v>544</v>
      </c>
      <c r="H121" s="7" t="s">
        <v>553</v>
      </c>
      <c r="I121" s="2">
        <v>9.32</v>
      </c>
      <c r="J121" s="7">
        <v>5</v>
      </c>
      <c r="K121" s="7">
        <v>0.2</v>
      </c>
      <c r="L121" s="7">
        <v>79.959999999999994</v>
      </c>
    </row>
    <row r="122" spans="1:12" x14ac:dyDescent="0.35">
      <c r="A122" s="9">
        <f t="shared" si="1"/>
        <v>121</v>
      </c>
      <c r="B122" s="10" t="s">
        <v>121</v>
      </c>
      <c r="C122" s="11" t="s">
        <v>571</v>
      </c>
      <c r="D122" s="10" t="s">
        <v>442</v>
      </c>
      <c r="E122" s="10" t="s">
        <v>516</v>
      </c>
      <c r="F122" s="10" t="s">
        <v>542</v>
      </c>
      <c r="G122" s="10" t="s">
        <v>545</v>
      </c>
      <c r="H122" s="10" t="s">
        <v>556</v>
      </c>
      <c r="I122" s="1">
        <v>15.25</v>
      </c>
      <c r="J122" s="10">
        <v>5</v>
      </c>
      <c r="K122" s="10">
        <v>0.2</v>
      </c>
      <c r="L122" s="10">
        <v>223.96</v>
      </c>
    </row>
    <row r="123" spans="1:12" x14ac:dyDescent="0.35">
      <c r="A123" s="6">
        <f t="shared" si="1"/>
        <v>122</v>
      </c>
      <c r="B123" s="7" t="s">
        <v>122</v>
      </c>
      <c r="C123" s="8" t="s">
        <v>572</v>
      </c>
      <c r="D123" s="7" t="s">
        <v>442</v>
      </c>
      <c r="E123" s="7" t="s">
        <v>516</v>
      </c>
      <c r="F123" s="7" t="s">
        <v>542</v>
      </c>
      <c r="G123" s="7" t="s">
        <v>545</v>
      </c>
      <c r="H123" s="7" t="s">
        <v>552</v>
      </c>
      <c r="I123" s="2">
        <v>196.75200000000001</v>
      </c>
      <c r="J123" s="7">
        <v>2</v>
      </c>
      <c r="K123" s="7">
        <v>0.2</v>
      </c>
      <c r="L123" s="7">
        <v>221.024</v>
      </c>
    </row>
    <row r="124" spans="1:12" x14ac:dyDescent="0.35">
      <c r="A124" s="9">
        <f t="shared" si="1"/>
        <v>123</v>
      </c>
      <c r="B124" s="10" t="s">
        <v>123</v>
      </c>
      <c r="C124" s="11" t="s">
        <v>571</v>
      </c>
      <c r="D124" s="10" t="s">
        <v>442</v>
      </c>
      <c r="E124" s="10" t="s">
        <v>516</v>
      </c>
      <c r="F124" s="10" t="s">
        <v>542</v>
      </c>
      <c r="G124" s="10" t="s">
        <v>545</v>
      </c>
      <c r="H124" s="10" t="s">
        <v>560</v>
      </c>
      <c r="I124" s="1">
        <v>56.56</v>
      </c>
      <c r="J124" s="10">
        <v>2</v>
      </c>
      <c r="K124" s="10">
        <v>0</v>
      </c>
      <c r="L124" s="10">
        <v>18.96</v>
      </c>
    </row>
    <row r="125" spans="1:12" x14ac:dyDescent="0.35">
      <c r="A125" s="6">
        <f t="shared" si="1"/>
        <v>124</v>
      </c>
      <c r="B125" s="7" t="s">
        <v>124</v>
      </c>
      <c r="C125" s="8" t="s">
        <v>573</v>
      </c>
      <c r="D125" s="7" t="s">
        <v>442</v>
      </c>
      <c r="E125" s="7" t="s">
        <v>516</v>
      </c>
      <c r="F125" s="7" t="s">
        <v>542</v>
      </c>
      <c r="G125" s="7" t="s">
        <v>546</v>
      </c>
      <c r="H125" s="7" t="s">
        <v>555</v>
      </c>
      <c r="I125" s="2">
        <v>32.700000000000003</v>
      </c>
      <c r="J125" s="7">
        <v>3</v>
      </c>
      <c r="K125" s="7">
        <v>0.1</v>
      </c>
      <c r="L125" s="7">
        <v>326.64600000000002</v>
      </c>
    </row>
    <row r="126" spans="1:12" x14ac:dyDescent="0.35">
      <c r="A126" s="9">
        <f t="shared" si="1"/>
        <v>125</v>
      </c>
      <c r="B126" s="10" t="s">
        <v>125</v>
      </c>
      <c r="C126" s="11" t="s">
        <v>574</v>
      </c>
      <c r="D126" s="10" t="s">
        <v>414</v>
      </c>
      <c r="E126" s="10" t="s">
        <v>508</v>
      </c>
      <c r="F126" s="10" t="s">
        <v>541</v>
      </c>
      <c r="G126" s="10" t="s">
        <v>544</v>
      </c>
      <c r="H126" s="10" t="s">
        <v>549</v>
      </c>
      <c r="I126" s="1">
        <v>866.4</v>
      </c>
      <c r="J126" s="10">
        <v>3</v>
      </c>
      <c r="K126" s="10">
        <v>0</v>
      </c>
      <c r="L126" s="10">
        <v>89.97</v>
      </c>
    </row>
    <row r="127" spans="1:12" x14ac:dyDescent="0.35">
      <c r="A127" s="6">
        <f t="shared" si="1"/>
        <v>126</v>
      </c>
      <c r="B127" s="7" t="s">
        <v>126</v>
      </c>
      <c r="C127" s="8" t="s">
        <v>571</v>
      </c>
      <c r="D127" s="7" t="s">
        <v>443</v>
      </c>
      <c r="E127" s="7" t="s">
        <v>513</v>
      </c>
      <c r="F127" s="7" t="s">
        <v>541</v>
      </c>
      <c r="G127" s="7" t="s">
        <v>544</v>
      </c>
      <c r="H127" s="7" t="s">
        <v>551</v>
      </c>
      <c r="I127" s="2">
        <v>28.4</v>
      </c>
      <c r="J127" s="7">
        <v>13</v>
      </c>
      <c r="K127" s="7">
        <v>0.2</v>
      </c>
      <c r="L127" s="7">
        <v>296.71200000000005</v>
      </c>
    </row>
    <row r="128" spans="1:12" x14ac:dyDescent="0.35">
      <c r="A128" s="9">
        <f t="shared" si="1"/>
        <v>127</v>
      </c>
      <c r="B128" s="10" t="s">
        <v>127</v>
      </c>
      <c r="C128" s="11" t="s">
        <v>575</v>
      </c>
      <c r="D128" s="10" t="s">
        <v>444</v>
      </c>
      <c r="E128" s="10" t="s">
        <v>519</v>
      </c>
      <c r="F128" s="10" t="s">
        <v>540</v>
      </c>
      <c r="G128" s="10" t="s">
        <v>545</v>
      </c>
      <c r="H128" s="10" t="s">
        <v>556</v>
      </c>
      <c r="I128" s="1">
        <v>287.92</v>
      </c>
      <c r="J128" s="10">
        <v>2</v>
      </c>
      <c r="K128" s="10">
        <v>0.2</v>
      </c>
      <c r="L128" s="10">
        <v>12.224</v>
      </c>
    </row>
    <row r="129" spans="1:12" x14ac:dyDescent="0.35">
      <c r="A129" s="6">
        <f t="shared" si="1"/>
        <v>128</v>
      </c>
      <c r="B129" s="7" t="s">
        <v>128</v>
      </c>
      <c r="C129" s="8" t="s">
        <v>576</v>
      </c>
      <c r="D129" s="7" t="s">
        <v>444</v>
      </c>
      <c r="E129" s="7" t="s">
        <v>519</v>
      </c>
      <c r="F129" s="7" t="s">
        <v>540</v>
      </c>
      <c r="G129" s="7" t="s">
        <v>545</v>
      </c>
      <c r="H129" s="7" t="s">
        <v>552</v>
      </c>
      <c r="I129" s="2">
        <v>69.989999999999995</v>
      </c>
      <c r="J129" s="7">
        <v>3</v>
      </c>
      <c r="K129" s="7">
        <v>0</v>
      </c>
      <c r="L129" s="7">
        <v>89.97</v>
      </c>
    </row>
    <row r="130" spans="1:12" x14ac:dyDescent="0.35">
      <c r="A130" s="9">
        <f t="shared" si="1"/>
        <v>129</v>
      </c>
      <c r="B130" s="10" t="s">
        <v>129</v>
      </c>
      <c r="C130" s="11" t="s">
        <v>577</v>
      </c>
      <c r="D130" s="10" t="s">
        <v>403</v>
      </c>
      <c r="E130" s="10" t="s">
        <v>504</v>
      </c>
      <c r="F130" s="10" t="s">
        <v>540</v>
      </c>
      <c r="G130" s="10" t="s">
        <v>544</v>
      </c>
      <c r="H130" s="10" t="s">
        <v>549</v>
      </c>
      <c r="I130" s="1">
        <v>6.6719999999999988</v>
      </c>
      <c r="J130" s="10">
        <v>7</v>
      </c>
      <c r="K130" s="10">
        <v>0</v>
      </c>
      <c r="L130" s="10">
        <v>286.85999999999996</v>
      </c>
    </row>
    <row r="131" spans="1:12" x14ac:dyDescent="0.35">
      <c r="A131" s="6">
        <f t="shared" ref="A131:A194" si="2">A130+1</f>
        <v>130</v>
      </c>
      <c r="B131" s="7" t="s">
        <v>130</v>
      </c>
      <c r="C131" s="8" t="s">
        <v>573</v>
      </c>
      <c r="D131" s="7" t="s">
        <v>403</v>
      </c>
      <c r="E131" s="7" t="s">
        <v>504</v>
      </c>
      <c r="F131" s="7" t="s">
        <v>540</v>
      </c>
      <c r="G131" s="7" t="s">
        <v>544</v>
      </c>
      <c r="H131" s="7" t="s">
        <v>553</v>
      </c>
      <c r="I131" s="2">
        <v>189.58800000000005</v>
      </c>
      <c r="J131" s="7">
        <v>5</v>
      </c>
      <c r="K131" s="7">
        <v>0</v>
      </c>
      <c r="L131" s="7">
        <v>979.95</v>
      </c>
    </row>
    <row r="132" spans="1:12" x14ac:dyDescent="0.35">
      <c r="A132" s="9">
        <f t="shared" si="2"/>
        <v>131</v>
      </c>
      <c r="B132" s="10" t="s">
        <v>131</v>
      </c>
      <c r="C132" s="11" t="s">
        <v>571</v>
      </c>
      <c r="D132" s="10" t="s">
        <v>440</v>
      </c>
      <c r="E132" s="10" t="s">
        <v>527</v>
      </c>
      <c r="F132" s="10" t="s">
        <v>542</v>
      </c>
      <c r="G132" s="10" t="s">
        <v>546</v>
      </c>
      <c r="H132" s="10" t="s">
        <v>555</v>
      </c>
      <c r="I132" s="1">
        <v>408.74399999999997</v>
      </c>
      <c r="J132" s="10">
        <v>2</v>
      </c>
      <c r="K132" s="10">
        <v>0</v>
      </c>
      <c r="L132" s="10">
        <v>4.3600000000000003</v>
      </c>
    </row>
    <row r="133" spans="1:12" x14ac:dyDescent="0.35">
      <c r="A133" s="6">
        <f t="shared" si="2"/>
        <v>132</v>
      </c>
      <c r="B133" s="7" t="s">
        <v>132</v>
      </c>
      <c r="C133" s="8" t="s">
        <v>578</v>
      </c>
      <c r="D133" s="7" t="s">
        <v>440</v>
      </c>
      <c r="E133" s="7" t="s">
        <v>527</v>
      </c>
      <c r="F133" s="7" t="s">
        <v>542</v>
      </c>
      <c r="G133" s="7" t="s">
        <v>545</v>
      </c>
      <c r="H133" s="7" t="s">
        <v>558</v>
      </c>
      <c r="I133" s="2">
        <v>291.95999999999998</v>
      </c>
      <c r="J133" s="7">
        <v>2</v>
      </c>
      <c r="K133" s="7">
        <v>0.2</v>
      </c>
      <c r="L133" s="7">
        <v>10.048000000000002</v>
      </c>
    </row>
    <row r="134" spans="1:12" x14ac:dyDescent="0.35">
      <c r="A134" s="9">
        <f t="shared" si="2"/>
        <v>133</v>
      </c>
      <c r="B134" s="10" t="s">
        <v>133</v>
      </c>
      <c r="C134" s="11" t="s">
        <v>573</v>
      </c>
      <c r="D134" s="10" t="s">
        <v>440</v>
      </c>
      <c r="E134" s="10" t="s">
        <v>527</v>
      </c>
      <c r="F134" s="10" t="s">
        <v>542</v>
      </c>
      <c r="G134" s="10" t="s">
        <v>545</v>
      </c>
      <c r="H134" s="10" t="s">
        <v>561</v>
      </c>
      <c r="I134" s="1">
        <v>4.7679999999999998</v>
      </c>
      <c r="J134" s="10">
        <v>5</v>
      </c>
      <c r="K134" s="10">
        <v>0</v>
      </c>
      <c r="L134" s="10">
        <v>807.75</v>
      </c>
    </row>
    <row r="135" spans="1:12" x14ac:dyDescent="0.35">
      <c r="A135" s="6">
        <f t="shared" si="2"/>
        <v>134</v>
      </c>
      <c r="B135" s="7" t="s">
        <v>134</v>
      </c>
      <c r="C135" s="8" t="s">
        <v>572</v>
      </c>
      <c r="D135" s="7" t="s">
        <v>445</v>
      </c>
      <c r="E135" s="7" t="s">
        <v>504</v>
      </c>
      <c r="F135" s="7" t="s">
        <v>540</v>
      </c>
      <c r="G135" s="7" t="s">
        <v>545</v>
      </c>
      <c r="H135" s="7" t="s">
        <v>558</v>
      </c>
      <c r="I135" s="2">
        <v>714.30000000000007</v>
      </c>
      <c r="J135" s="7">
        <v>8</v>
      </c>
      <c r="K135" s="7">
        <v>0</v>
      </c>
      <c r="L135" s="7">
        <v>34.24</v>
      </c>
    </row>
    <row r="136" spans="1:12" x14ac:dyDescent="0.35">
      <c r="A136" s="9">
        <f t="shared" si="2"/>
        <v>135</v>
      </c>
      <c r="B136" s="10" t="s">
        <v>135</v>
      </c>
      <c r="C136" s="11" t="s">
        <v>571</v>
      </c>
      <c r="D136" s="10" t="s">
        <v>445</v>
      </c>
      <c r="E136" s="10" t="s">
        <v>504</v>
      </c>
      <c r="F136" s="10" t="s">
        <v>540</v>
      </c>
      <c r="G136" s="10" t="s">
        <v>545</v>
      </c>
      <c r="H136" s="10" t="s">
        <v>558</v>
      </c>
      <c r="I136" s="1">
        <v>4.8120000000000003</v>
      </c>
      <c r="J136" s="10">
        <v>13</v>
      </c>
      <c r="K136" s="10">
        <v>0</v>
      </c>
      <c r="L136" s="10">
        <v>500.23999999999995</v>
      </c>
    </row>
    <row r="137" spans="1:12" x14ac:dyDescent="0.35">
      <c r="A137" s="6">
        <f t="shared" si="2"/>
        <v>136</v>
      </c>
      <c r="B137" s="7" t="s">
        <v>136</v>
      </c>
      <c r="C137" s="8" t="s">
        <v>571</v>
      </c>
      <c r="D137" s="7" t="s">
        <v>445</v>
      </c>
      <c r="E137" s="7" t="s">
        <v>504</v>
      </c>
      <c r="F137" s="7" t="s">
        <v>540</v>
      </c>
      <c r="G137" s="7" t="s">
        <v>545</v>
      </c>
      <c r="H137" s="7" t="s">
        <v>554</v>
      </c>
      <c r="I137" s="2">
        <v>247.8</v>
      </c>
      <c r="J137" s="7">
        <v>2</v>
      </c>
      <c r="K137" s="7">
        <v>0</v>
      </c>
      <c r="L137" s="7">
        <v>20.12</v>
      </c>
    </row>
    <row r="138" spans="1:12" x14ac:dyDescent="0.35">
      <c r="A138" s="9">
        <f t="shared" si="2"/>
        <v>137</v>
      </c>
      <c r="B138" s="10" t="s">
        <v>137</v>
      </c>
      <c r="C138" s="11" t="s">
        <v>572</v>
      </c>
      <c r="D138" s="10" t="s">
        <v>445</v>
      </c>
      <c r="E138" s="10" t="s">
        <v>504</v>
      </c>
      <c r="F138" s="10" t="s">
        <v>540</v>
      </c>
      <c r="G138" s="10" t="s">
        <v>545</v>
      </c>
      <c r="H138" s="10" t="s">
        <v>561</v>
      </c>
      <c r="I138" s="1">
        <v>1007.979</v>
      </c>
      <c r="J138" s="10">
        <v>1</v>
      </c>
      <c r="K138" s="10">
        <v>0</v>
      </c>
      <c r="L138" s="10">
        <v>896.99</v>
      </c>
    </row>
    <row r="139" spans="1:12" x14ac:dyDescent="0.35">
      <c r="A139" s="6">
        <f t="shared" si="2"/>
        <v>138</v>
      </c>
      <c r="B139" s="7" t="s">
        <v>138</v>
      </c>
      <c r="C139" s="8" t="s">
        <v>571</v>
      </c>
      <c r="D139" s="7" t="s">
        <v>445</v>
      </c>
      <c r="E139" s="7" t="s">
        <v>504</v>
      </c>
      <c r="F139" s="7" t="s">
        <v>540</v>
      </c>
      <c r="G139" s="7" t="s">
        <v>545</v>
      </c>
      <c r="H139" s="7" t="s">
        <v>556</v>
      </c>
      <c r="I139" s="2">
        <v>313.488</v>
      </c>
      <c r="J139" s="7">
        <v>1</v>
      </c>
      <c r="K139" s="7">
        <v>0.2</v>
      </c>
      <c r="L139" s="7">
        <v>5.88</v>
      </c>
    </row>
    <row r="140" spans="1:12" x14ac:dyDescent="0.35">
      <c r="A140" s="9">
        <f t="shared" si="2"/>
        <v>139</v>
      </c>
      <c r="B140" s="10" t="s">
        <v>139</v>
      </c>
      <c r="C140" s="11" t="s">
        <v>573</v>
      </c>
      <c r="D140" s="10" t="s">
        <v>445</v>
      </c>
      <c r="E140" s="10" t="s">
        <v>504</v>
      </c>
      <c r="F140" s="10" t="s">
        <v>540</v>
      </c>
      <c r="G140" s="10" t="s">
        <v>545</v>
      </c>
      <c r="H140" s="10" t="s">
        <v>562</v>
      </c>
      <c r="I140" s="1">
        <v>31.872000000000003</v>
      </c>
      <c r="J140" s="10">
        <v>2</v>
      </c>
      <c r="K140" s="10">
        <v>0</v>
      </c>
      <c r="L140" s="10">
        <v>269.98</v>
      </c>
    </row>
    <row r="141" spans="1:12" x14ac:dyDescent="0.35">
      <c r="A141" s="6">
        <f t="shared" si="2"/>
        <v>140</v>
      </c>
      <c r="B141" s="7" t="s">
        <v>140</v>
      </c>
      <c r="C141" s="8" t="s">
        <v>574</v>
      </c>
      <c r="D141" s="7" t="s">
        <v>445</v>
      </c>
      <c r="E141" s="7" t="s">
        <v>504</v>
      </c>
      <c r="F141" s="7" t="s">
        <v>540</v>
      </c>
      <c r="G141" s="7" t="s">
        <v>544</v>
      </c>
      <c r="H141" s="7" t="s">
        <v>553</v>
      </c>
      <c r="I141" s="2">
        <v>207.84600000000003</v>
      </c>
      <c r="J141" s="7">
        <v>2</v>
      </c>
      <c r="K141" s="7">
        <v>0</v>
      </c>
      <c r="L141" s="7">
        <v>310.12</v>
      </c>
    </row>
    <row r="142" spans="1:12" x14ac:dyDescent="0.35">
      <c r="A142" s="9">
        <f t="shared" si="2"/>
        <v>141</v>
      </c>
      <c r="B142" s="10" t="s">
        <v>141</v>
      </c>
      <c r="C142" s="11" t="s">
        <v>571</v>
      </c>
      <c r="D142" s="10" t="s">
        <v>412</v>
      </c>
      <c r="E142" s="10" t="s">
        <v>512</v>
      </c>
      <c r="F142" s="10" t="s">
        <v>542</v>
      </c>
      <c r="G142" s="10" t="s">
        <v>544</v>
      </c>
      <c r="H142" s="10" t="s">
        <v>553</v>
      </c>
      <c r="I142" s="1">
        <v>12.22</v>
      </c>
      <c r="J142" s="10">
        <v>6</v>
      </c>
      <c r="K142" s="10">
        <v>0.2</v>
      </c>
      <c r="L142" s="10">
        <v>70.463999999999999</v>
      </c>
    </row>
    <row r="143" spans="1:12" x14ac:dyDescent="0.35">
      <c r="A143" s="6">
        <f t="shared" si="2"/>
        <v>142</v>
      </c>
      <c r="B143" s="7" t="s">
        <v>142</v>
      </c>
      <c r="C143" s="8" t="s">
        <v>575</v>
      </c>
      <c r="D143" s="7" t="s">
        <v>410</v>
      </c>
      <c r="E143" s="7" t="s">
        <v>504</v>
      </c>
      <c r="F143" s="7" t="s">
        <v>540</v>
      </c>
      <c r="G143" s="7" t="s">
        <v>545</v>
      </c>
      <c r="H143" s="7" t="s">
        <v>554</v>
      </c>
      <c r="I143" s="2">
        <v>194.94</v>
      </c>
      <c r="J143" s="7">
        <v>5</v>
      </c>
      <c r="K143" s="7">
        <v>0.2</v>
      </c>
      <c r="L143" s="7">
        <v>19.68</v>
      </c>
    </row>
    <row r="144" spans="1:12" x14ac:dyDescent="0.35">
      <c r="A144" s="9">
        <f t="shared" si="2"/>
        <v>143</v>
      </c>
      <c r="B144" s="10" t="s">
        <v>143</v>
      </c>
      <c r="C144" s="11" t="s">
        <v>576</v>
      </c>
      <c r="D144" s="10" t="s">
        <v>410</v>
      </c>
      <c r="E144" s="10" t="s">
        <v>504</v>
      </c>
      <c r="F144" s="10" t="s">
        <v>540</v>
      </c>
      <c r="G144" s="10" t="s">
        <v>545</v>
      </c>
      <c r="H144" s="10" t="s">
        <v>560</v>
      </c>
      <c r="I144" s="1">
        <v>70.949999999999989</v>
      </c>
      <c r="J144" s="10">
        <v>3</v>
      </c>
      <c r="K144" s="10">
        <v>0</v>
      </c>
      <c r="L144" s="10">
        <v>140.67000000000002</v>
      </c>
    </row>
    <row r="145" spans="1:12" x14ac:dyDescent="0.35">
      <c r="A145" s="6">
        <f t="shared" si="2"/>
        <v>144</v>
      </c>
      <c r="B145" s="7" t="s">
        <v>144</v>
      </c>
      <c r="C145" s="8" t="s">
        <v>577</v>
      </c>
      <c r="D145" s="7" t="s">
        <v>410</v>
      </c>
      <c r="E145" s="7" t="s">
        <v>504</v>
      </c>
      <c r="F145" s="7" t="s">
        <v>540</v>
      </c>
      <c r="G145" s="7" t="s">
        <v>545</v>
      </c>
      <c r="H145" s="7" t="s">
        <v>558</v>
      </c>
      <c r="I145" s="2">
        <v>91.36</v>
      </c>
      <c r="J145" s="7">
        <v>5</v>
      </c>
      <c r="K145" s="7">
        <v>0</v>
      </c>
      <c r="L145" s="7">
        <v>4404.8999999999996</v>
      </c>
    </row>
    <row r="146" spans="1:12" x14ac:dyDescent="0.35">
      <c r="A146" s="9">
        <f t="shared" si="2"/>
        <v>145</v>
      </c>
      <c r="B146" s="10" t="s">
        <v>145</v>
      </c>
      <c r="C146" s="11" t="s">
        <v>573</v>
      </c>
      <c r="D146" s="10" t="s">
        <v>446</v>
      </c>
      <c r="E146" s="10" t="s">
        <v>528</v>
      </c>
      <c r="F146" s="10" t="s">
        <v>541</v>
      </c>
      <c r="G146" s="10" t="s">
        <v>545</v>
      </c>
      <c r="H146" s="10" t="s">
        <v>557</v>
      </c>
      <c r="I146" s="1">
        <v>242.94</v>
      </c>
      <c r="J146" s="10">
        <v>5</v>
      </c>
      <c r="K146" s="10">
        <v>0</v>
      </c>
      <c r="L146" s="10">
        <v>62.65</v>
      </c>
    </row>
    <row r="147" spans="1:12" x14ac:dyDescent="0.35">
      <c r="A147" s="6">
        <f t="shared" si="2"/>
        <v>146</v>
      </c>
      <c r="B147" s="7" t="s">
        <v>146</v>
      </c>
      <c r="C147" s="8" t="s">
        <v>571</v>
      </c>
      <c r="D147" s="7" t="s">
        <v>447</v>
      </c>
      <c r="E147" s="7" t="s">
        <v>504</v>
      </c>
      <c r="F147" s="7" t="s">
        <v>540</v>
      </c>
      <c r="G147" s="7" t="s">
        <v>545</v>
      </c>
      <c r="H147" s="7" t="s">
        <v>552</v>
      </c>
      <c r="I147" s="2">
        <v>22.05</v>
      </c>
      <c r="J147" s="7">
        <v>3</v>
      </c>
      <c r="K147" s="7">
        <v>0</v>
      </c>
      <c r="L147" s="7">
        <v>9.4499999999999993</v>
      </c>
    </row>
    <row r="148" spans="1:12" x14ac:dyDescent="0.35">
      <c r="A148" s="9">
        <f t="shared" si="2"/>
        <v>147</v>
      </c>
      <c r="B148" s="10" t="s">
        <v>147</v>
      </c>
      <c r="C148" s="11" t="s">
        <v>578</v>
      </c>
      <c r="D148" s="10" t="s">
        <v>448</v>
      </c>
      <c r="E148" s="10" t="s">
        <v>527</v>
      </c>
      <c r="F148" s="10" t="s">
        <v>542</v>
      </c>
      <c r="G148" s="10" t="s">
        <v>544</v>
      </c>
      <c r="H148" s="10" t="s">
        <v>553</v>
      </c>
      <c r="I148" s="1">
        <v>2.91</v>
      </c>
      <c r="J148" s="10">
        <v>4</v>
      </c>
      <c r="K148" s="10">
        <v>0.2</v>
      </c>
      <c r="L148" s="10">
        <v>268.57600000000002</v>
      </c>
    </row>
    <row r="149" spans="1:12" x14ac:dyDescent="0.35">
      <c r="A149" s="6">
        <f t="shared" si="2"/>
        <v>148</v>
      </c>
      <c r="B149" s="7" t="s">
        <v>148</v>
      </c>
      <c r="C149" s="8" t="s">
        <v>573</v>
      </c>
      <c r="D149" s="7" t="s">
        <v>449</v>
      </c>
      <c r="E149" s="7" t="s">
        <v>509</v>
      </c>
      <c r="F149" s="7" t="s">
        <v>541</v>
      </c>
      <c r="G149" s="7" t="s">
        <v>546</v>
      </c>
      <c r="H149" s="7" t="s">
        <v>555</v>
      </c>
      <c r="I149" s="2">
        <v>59.519999999999996</v>
      </c>
      <c r="J149" s="7">
        <v>2</v>
      </c>
      <c r="K149" s="7">
        <v>0.2</v>
      </c>
      <c r="L149" s="7">
        <v>364.08000000000004</v>
      </c>
    </row>
    <row r="150" spans="1:12" x14ac:dyDescent="0.35">
      <c r="A150" s="9">
        <f t="shared" si="2"/>
        <v>149</v>
      </c>
      <c r="B150" s="10" t="s">
        <v>149</v>
      </c>
      <c r="C150" s="11" t="s">
        <v>572</v>
      </c>
      <c r="D150" s="10" t="s">
        <v>449</v>
      </c>
      <c r="E150" s="10" t="s">
        <v>509</v>
      </c>
      <c r="F150" s="10" t="s">
        <v>541</v>
      </c>
      <c r="G150" s="10" t="s">
        <v>546</v>
      </c>
      <c r="H150" s="10" t="s">
        <v>555</v>
      </c>
      <c r="I150" s="1">
        <v>161.94</v>
      </c>
      <c r="J150" s="10">
        <v>2</v>
      </c>
      <c r="K150" s="10">
        <v>0.2</v>
      </c>
      <c r="L150" s="10">
        <v>71.088000000000008</v>
      </c>
    </row>
    <row r="151" spans="1:12" x14ac:dyDescent="0.35">
      <c r="A151" s="6">
        <f t="shared" si="2"/>
        <v>150</v>
      </c>
      <c r="B151" s="7" t="s">
        <v>150</v>
      </c>
      <c r="C151" s="8" t="s">
        <v>571</v>
      </c>
      <c r="D151" s="7" t="s">
        <v>449</v>
      </c>
      <c r="E151" s="7" t="s">
        <v>509</v>
      </c>
      <c r="F151" s="7" t="s">
        <v>541</v>
      </c>
      <c r="G151" s="7" t="s">
        <v>544</v>
      </c>
      <c r="H151" s="7" t="s">
        <v>549</v>
      </c>
      <c r="I151" s="2">
        <v>263.88</v>
      </c>
      <c r="J151" s="7">
        <v>2</v>
      </c>
      <c r="K151" s="7">
        <v>0.6</v>
      </c>
      <c r="L151" s="7">
        <v>10.984000000000002</v>
      </c>
    </row>
    <row r="152" spans="1:12" x14ac:dyDescent="0.35">
      <c r="A152" s="9">
        <f t="shared" si="2"/>
        <v>151</v>
      </c>
      <c r="B152" s="10" t="s">
        <v>151</v>
      </c>
      <c r="C152" s="11" t="s">
        <v>571</v>
      </c>
      <c r="D152" s="10" t="s">
        <v>449</v>
      </c>
      <c r="E152" s="10" t="s">
        <v>509</v>
      </c>
      <c r="F152" s="10" t="s">
        <v>541</v>
      </c>
      <c r="G152" s="10" t="s">
        <v>545</v>
      </c>
      <c r="H152" s="10" t="s">
        <v>556</v>
      </c>
      <c r="I152" s="1">
        <v>30.48</v>
      </c>
      <c r="J152" s="10">
        <v>4</v>
      </c>
      <c r="K152" s="10">
        <v>0.3</v>
      </c>
      <c r="L152" s="10">
        <v>797.94399999999996</v>
      </c>
    </row>
    <row r="153" spans="1:12" x14ac:dyDescent="0.35">
      <c r="A153" s="6">
        <f t="shared" si="2"/>
        <v>152</v>
      </c>
      <c r="B153" s="7" t="s">
        <v>152</v>
      </c>
      <c r="C153" s="8" t="s">
        <v>572</v>
      </c>
      <c r="D153" s="7" t="s">
        <v>450</v>
      </c>
      <c r="E153" s="7" t="s">
        <v>519</v>
      </c>
      <c r="F153" s="7" t="s">
        <v>540</v>
      </c>
      <c r="G153" s="7" t="s">
        <v>545</v>
      </c>
      <c r="H153" s="7" t="s">
        <v>557</v>
      </c>
      <c r="I153" s="2">
        <v>9.84</v>
      </c>
      <c r="J153" s="7">
        <v>2</v>
      </c>
      <c r="K153" s="7">
        <v>0</v>
      </c>
      <c r="L153" s="7">
        <v>159.97999999999999</v>
      </c>
    </row>
    <row r="154" spans="1:12" x14ac:dyDescent="0.35">
      <c r="A154" s="9">
        <f t="shared" si="2"/>
        <v>153</v>
      </c>
      <c r="B154" s="10" t="s">
        <v>153</v>
      </c>
      <c r="C154" s="11" t="s">
        <v>571</v>
      </c>
      <c r="D154" s="10" t="s">
        <v>450</v>
      </c>
      <c r="E154" s="10" t="s">
        <v>519</v>
      </c>
      <c r="F154" s="10" t="s">
        <v>540</v>
      </c>
      <c r="G154" s="10" t="s">
        <v>546</v>
      </c>
      <c r="H154" s="10" t="s">
        <v>555</v>
      </c>
      <c r="I154" s="1">
        <v>35.119999999999997</v>
      </c>
      <c r="J154" s="10">
        <v>2</v>
      </c>
      <c r="K154" s="10">
        <v>0.2</v>
      </c>
      <c r="L154" s="10">
        <v>5.3440000000000003</v>
      </c>
    </row>
    <row r="155" spans="1:12" x14ac:dyDescent="0.35">
      <c r="A155" s="6">
        <f t="shared" si="2"/>
        <v>154</v>
      </c>
      <c r="B155" s="7" t="s">
        <v>154</v>
      </c>
      <c r="C155" s="8" t="s">
        <v>573</v>
      </c>
      <c r="D155" s="7" t="s">
        <v>451</v>
      </c>
      <c r="E155" s="7" t="s">
        <v>504</v>
      </c>
      <c r="F155" s="7" t="s">
        <v>540</v>
      </c>
      <c r="G155" s="7" t="s">
        <v>545</v>
      </c>
      <c r="H155" s="7" t="s">
        <v>558</v>
      </c>
      <c r="I155" s="2">
        <v>284.36399999999998</v>
      </c>
      <c r="J155" s="7">
        <v>3</v>
      </c>
      <c r="K155" s="7">
        <v>0.2</v>
      </c>
      <c r="L155" s="7">
        <v>27.72</v>
      </c>
    </row>
    <row r="156" spans="1:12" x14ac:dyDescent="0.35">
      <c r="A156" s="9">
        <f t="shared" si="2"/>
        <v>155</v>
      </c>
      <c r="B156" s="10" t="s">
        <v>155</v>
      </c>
      <c r="C156" s="11" t="s">
        <v>574</v>
      </c>
      <c r="D156" s="10" t="s">
        <v>451</v>
      </c>
      <c r="E156" s="10" t="s">
        <v>504</v>
      </c>
      <c r="F156" s="10" t="s">
        <v>540</v>
      </c>
      <c r="G156" s="10" t="s">
        <v>545</v>
      </c>
      <c r="H156" s="10" t="s">
        <v>558</v>
      </c>
      <c r="I156" s="1">
        <v>665.40800000000002</v>
      </c>
      <c r="J156" s="10">
        <v>1</v>
      </c>
      <c r="K156" s="10">
        <v>0.2</v>
      </c>
      <c r="L156" s="10">
        <v>2.4960000000000004</v>
      </c>
    </row>
    <row r="157" spans="1:12" x14ac:dyDescent="0.35">
      <c r="A157" s="6">
        <f t="shared" si="2"/>
        <v>156</v>
      </c>
      <c r="B157" s="7" t="s">
        <v>156</v>
      </c>
      <c r="C157" s="8" t="s">
        <v>571</v>
      </c>
      <c r="D157" s="7" t="s">
        <v>451</v>
      </c>
      <c r="E157" s="7" t="s">
        <v>504</v>
      </c>
      <c r="F157" s="7" t="s">
        <v>540</v>
      </c>
      <c r="G157" s="7" t="s">
        <v>545</v>
      </c>
      <c r="H157" s="7" t="s">
        <v>552</v>
      </c>
      <c r="I157" s="2">
        <v>63.88</v>
      </c>
      <c r="J157" s="7">
        <v>2</v>
      </c>
      <c r="K157" s="7">
        <v>0</v>
      </c>
      <c r="L157" s="7">
        <v>8.26</v>
      </c>
    </row>
    <row r="158" spans="1:12" x14ac:dyDescent="0.35">
      <c r="A158" s="9">
        <f t="shared" si="2"/>
        <v>157</v>
      </c>
      <c r="B158" s="10" t="s">
        <v>157</v>
      </c>
      <c r="C158" s="11" t="s">
        <v>575</v>
      </c>
      <c r="D158" s="10" t="s">
        <v>406</v>
      </c>
      <c r="E158" s="10" t="s">
        <v>507</v>
      </c>
      <c r="F158" s="10" t="s">
        <v>540</v>
      </c>
      <c r="G158" s="10" t="s">
        <v>545</v>
      </c>
      <c r="H158" s="10" t="s">
        <v>554</v>
      </c>
      <c r="I158" s="1">
        <v>129.56800000000001</v>
      </c>
      <c r="J158" s="10">
        <v>2</v>
      </c>
      <c r="K158" s="10">
        <v>0</v>
      </c>
      <c r="L158" s="10">
        <v>17.760000000000002</v>
      </c>
    </row>
    <row r="159" spans="1:12" x14ac:dyDescent="0.35">
      <c r="A159" s="6">
        <f t="shared" si="2"/>
        <v>158</v>
      </c>
      <c r="B159" s="7" t="s">
        <v>158</v>
      </c>
      <c r="C159" s="8" t="s">
        <v>576</v>
      </c>
      <c r="D159" s="7" t="s">
        <v>406</v>
      </c>
      <c r="E159" s="7" t="s">
        <v>507</v>
      </c>
      <c r="F159" s="7" t="s">
        <v>540</v>
      </c>
      <c r="G159" s="7" t="s">
        <v>544</v>
      </c>
      <c r="H159" s="7" t="s">
        <v>549</v>
      </c>
      <c r="I159" s="2">
        <v>747.55799999999999</v>
      </c>
      <c r="J159" s="7">
        <v>3</v>
      </c>
      <c r="K159" s="7">
        <v>0</v>
      </c>
      <c r="L159" s="7">
        <v>332.94</v>
      </c>
    </row>
    <row r="160" spans="1:12" x14ac:dyDescent="0.35">
      <c r="A160" s="9">
        <f t="shared" si="2"/>
        <v>159</v>
      </c>
      <c r="B160" s="10" t="s">
        <v>159</v>
      </c>
      <c r="C160" s="11" t="s">
        <v>577</v>
      </c>
      <c r="D160" s="10" t="s">
        <v>452</v>
      </c>
      <c r="E160" s="10" t="s">
        <v>529</v>
      </c>
      <c r="F160" s="10" t="s">
        <v>541</v>
      </c>
      <c r="G160" s="10" t="s">
        <v>545</v>
      </c>
      <c r="H160" s="10" t="s">
        <v>550</v>
      </c>
      <c r="I160" s="1">
        <v>8.9280000000000008</v>
      </c>
      <c r="J160" s="10">
        <v>2</v>
      </c>
      <c r="K160" s="10">
        <v>0</v>
      </c>
      <c r="L160" s="10">
        <v>292.10000000000002</v>
      </c>
    </row>
    <row r="161" spans="1:12" x14ac:dyDescent="0.35">
      <c r="A161" s="6">
        <f t="shared" si="2"/>
        <v>160</v>
      </c>
      <c r="B161" s="7" t="s">
        <v>160</v>
      </c>
      <c r="C161" s="8" t="s">
        <v>573</v>
      </c>
      <c r="D161" s="7" t="s">
        <v>452</v>
      </c>
      <c r="E161" s="7" t="s">
        <v>529</v>
      </c>
      <c r="F161" s="7" t="s">
        <v>541</v>
      </c>
      <c r="G161" s="7" t="s">
        <v>546</v>
      </c>
      <c r="H161" s="7" t="s">
        <v>555</v>
      </c>
      <c r="I161" s="2">
        <v>103.92</v>
      </c>
      <c r="J161" s="7">
        <v>5</v>
      </c>
      <c r="K161" s="7">
        <v>0</v>
      </c>
      <c r="L161" s="7">
        <v>206.1</v>
      </c>
    </row>
    <row r="162" spans="1:12" x14ac:dyDescent="0.35">
      <c r="A162" s="9">
        <f t="shared" si="2"/>
        <v>161</v>
      </c>
      <c r="B162" s="10" t="s">
        <v>161</v>
      </c>
      <c r="C162" s="11" t="s">
        <v>571</v>
      </c>
      <c r="D162" s="10" t="s">
        <v>403</v>
      </c>
      <c r="E162" s="10" t="s">
        <v>504</v>
      </c>
      <c r="F162" s="10" t="s">
        <v>540</v>
      </c>
      <c r="G162" s="10" t="s">
        <v>545</v>
      </c>
      <c r="H162" s="10" t="s">
        <v>558</v>
      </c>
      <c r="I162" s="1">
        <v>899.91</v>
      </c>
      <c r="J162" s="10">
        <v>4</v>
      </c>
      <c r="K162" s="10">
        <v>0</v>
      </c>
      <c r="L162" s="10">
        <v>17.64</v>
      </c>
    </row>
    <row r="163" spans="1:12" x14ac:dyDescent="0.35">
      <c r="A163" s="6">
        <f t="shared" si="2"/>
        <v>162</v>
      </c>
      <c r="B163" s="7" t="s">
        <v>162</v>
      </c>
      <c r="C163" s="8" t="s">
        <v>578</v>
      </c>
      <c r="D163" s="7" t="s">
        <v>412</v>
      </c>
      <c r="E163" s="7" t="s">
        <v>512</v>
      </c>
      <c r="F163" s="7" t="s">
        <v>542</v>
      </c>
      <c r="G163" s="7" t="s">
        <v>546</v>
      </c>
      <c r="H163" s="7" t="s">
        <v>559</v>
      </c>
      <c r="I163" s="2">
        <v>51.311999999999998</v>
      </c>
      <c r="J163" s="7">
        <v>5</v>
      </c>
      <c r="K163" s="7">
        <v>0.2</v>
      </c>
      <c r="L163" s="7">
        <v>1403.9200000000003</v>
      </c>
    </row>
    <row r="164" spans="1:12" x14ac:dyDescent="0.35">
      <c r="A164" s="9">
        <f t="shared" si="2"/>
        <v>163</v>
      </c>
      <c r="B164" s="10" t="s">
        <v>163</v>
      </c>
      <c r="C164" s="11" t="s">
        <v>573</v>
      </c>
      <c r="D164" s="10" t="s">
        <v>453</v>
      </c>
      <c r="E164" s="10" t="s">
        <v>530</v>
      </c>
      <c r="F164" s="10" t="s">
        <v>540</v>
      </c>
      <c r="G164" s="10" t="s">
        <v>545</v>
      </c>
      <c r="H164" s="10" t="s">
        <v>560</v>
      </c>
      <c r="I164" s="1">
        <v>23.56</v>
      </c>
      <c r="J164" s="10">
        <v>2</v>
      </c>
      <c r="K164" s="10">
        <v>0</v>
      </c>
      <c r="L164" s="10">
        <v>4.3</v>
      </c>
    </row>
    <row r="165" spans="1:12" x14ac:dyDescent="0.35">
      <c r="A165" s="6">
        <f t="shared" si="2"/>
        <v>164</v>
      </c>
      <c r="B165" s="7" t="s">
        <v>164</v>
      </c>
      <c r="C165" s="8" t="s">
        <v>572</v>
      </c>
      <c r="D165" s="7" t="s">
        <v>406</v>
      </c>
      <c r="E165" s="7" t="s">
        <v>507</v>
      </c>
      <c r="F165" s="7" t="s">
        <v>540</v>
      </c>
      <c r="G165" s="7" t="s">
        <v>545</v>
      </c>
      <c r="H165" s="7" t="s">
        <v>556</v>
      </c>
      <c r="I165" s="2">
        <v>1272.6299999999999</v>
      </c>
      <c r="J165" s="7">
        <v>3</v>
      </c>
      <c r="K165" s="7">
        <v>0</v>
      </c>
      <c r="L165" s="7">
        <v>239.96999999999997</v>
      </c>
    </row>
    <row r="166" spans="1:12" x14ac:dyDescent="0.35">
      <c r="A166" s="9">
        <f t="shared" si="2"/>
        <v>165</v>
      </c>
      <c r="B166" s="10" t="s">
        <v>165</v>
      </c>
      <c r="C166" s="11" t="s">
        <v>571</v>
      </c>
      <c r="D166" s="10" t="s">
        <v>454</v>
      </c>
      <c r="E166" s="10" t="s">
        <v>508</v>
      </c>
      <c r="F166" s="10" t="s">
        <v>541</v>
      </c>
      <c r="G166" s="10" t="s">
        <v>545</v>
      </c>
      <c r="H166" s="10" t="s">
        <v>554</v>
      </c>
      <c r="I166" s="1">
        <v>28.484999999999999</v>
      </c>
      <c r="J166" s="10">
        <v>2</v>
      </c>
      <c r="K166" s="10">
        <v>0</v>
      </c>
      <c r="L166" s="10">
        <v>81.96</v>
      </c>
    </row>
    <row r="167" spans="1:12" x14ac:dyDescent="0.35">
      <c r="A167" s="6">
        <f t="shared" si="2"/>
        <v>166</v>
      </c>
      <c r="B167" s="7" t="s">
        <v>166</v>
      </c>
      <c r="C167" s="8" t="s">
        <v>571</v>
      </c>
      <c r="D167" s="7" t="s">
        <v>454</v>
      </c>
      <c r="E167" s="7" t="s">
        <v>508</v>
      </c>
      <c r="F167" s="7" t="s">
        <v>541</v>
      </c>
      <c r="G167" s="7" t="s">
        <v>546</v>
      </c>
      <c r="H167" s="7" t="s">
        <v>563</v>
      </c>
      <c r="I167" s="2">
        <v>185.376</v>
      </c>
      <c r="J167" s="7">
        <v>2</v>
      </c>
      <c r="K167" s="7">
        <v>0</v>
      </c>
      <c r="L167" s="7">
        <v>238.62</v>
      </c>
    </row>
    <row r="168" spans="1:12" x14ac:dyDescent="0.35">
      <c r="A168" s="9">
        <f t="shared" si="2"/>
        <v>167</v>
      </c>
      <c r="B168" s="10" t="s">
        <v>167</v>
      </c>
      <c r="C168" s="11" t="s">
        <v>572</v>
      </c>
      <c r="D168" s="10" t="s">
        <v>454</v>
      </c>
      <c r="E168" s="10" t="s">
        <v>508</v>
      </c>
      <c r="F168" s="10" t="s">
        <v>541</v>
      </c>
      <c r="G168" s="10" t="s">
        <v>545</v>
      </c>
      <c r="H168" s="10" t="s">
        <v>552</v>
      </c>
      <c r="I168" s="1">
        <v>78.272000000000006</v>
      </c>
      <c r="J168" s="10">
        <v>5</v>
      </c>
      <c r="K168" s="10">
        <v>0.2</v>
      </c>
      <c r="L168" s="10">
        <v>139.80000000000001</v>
      </c>
    </row>
    <row r="169" spans="1:12" x14ac:dyDescent="0.35">
      <c r="A169" s="6">
        <f t="shared" si="2"/>
        <v>168</v>
      </c>
      <c r="B169" s="7" t="s">
        <v>168</v>
      </c>
      <c r="C169" s="8" t="s">
        <v>571</v>
      </c>
      <c r="D169" s="7" t="s">
        <v>454</v>
      </c>
      <c r="E169" s="7" t="s">
        <v>508</v>
      </c>
      <c r="F169" s="7" t="s">
        <v>541</v>
      </c>
      <c r="G169" s="7" t="s">
        <v>544</v>
      </c>
      <c r="H169" s="7" t="s">
        <v>549</v>
      </c>
      <c r="I169" s="2">
        <v>254.74400000000003</v>
      </c>
      <c r="J169" s="7">
        <v>2</v>
      </c>
      <c r="K169" s="7">
        <v>0</v>
      </c>
      <c r="L169" s="7">
        <v>9.84</v>
      </c>
    </row>
    <row r="170" spans="1:12" x14ac:dyDescent="0.35">
      <c r="A170" s="9">
        <f t="shared" si="2"/>
        <v>169</v>
      </c>
      <c r="B170" s="10" t="s">
        <v>169</v>
      </c>
      <c r="C170" s="11" t="s">
        <v>573</v>
      </c>
      <c r="D170" s="10" t="s">
        <v>454</v>
      </c>
      <c r="E170" s="10" t="s">
        <v>508</v>
      </c>
      <c r="F170" s="10" t="s">
        <v>541</v>
      </c>
      <c r="G170" s="10" t="s">
        <v>545</v>
      </c>
      <c r="H170" s="10" t="s">
        <v>554</v>
      </c>
      <c r="I170" s="1">
        <v>205.33279999999996</v>
      </c>
      <c r="J170" s="10">
        <v>1</v>
      </c>
      <c r="K170" s="10">
        <v>0</v>
      </c>
      <c r="L170" s="10">
        <v>7.78</v>
      </c>
    </row>
    <row r="171" spans="1:12" x14ac:dyDescent="0.35">
      <c r="A171" s="6">
        <f t="shared" si="2"/>
        <v>170</v>
      </c>
      <c r="B171" s="7" t="s">
        <v>170</v>
      </c>
      <c r="C171" s="8" t="s">
        <v>574</v>
      </c>
      <c r="D171" s="7" t="s">
        <v>454</v>
      </c>
      <c r="E171" s="7" t="s">
        <v>508</v>
      </c>
      <c r="F171" s="7" t="s">
        <v>541</v>
      </c>
      <c r="G171" s="7" t="s">
        <v>545</v>
      </c>
      <c r="H171" s="7" t="s">
        <v>557</v>
      </c>
      <c r="I171" s="2">
        <v>4.7879999999999985</v>
      </c>
      <c r="J171" s="7">
        <v>5</v>
      </c>
      <c r="K171" s="7">
        <v>0</v>
      </c>
      <c r="L171" s="7">
        <v>54.900000000000006</v>
      </c>
    </row>
    <row r="172" spans="1:12" x14ac:dyDescent="0.35">
      <c r="A172" s="9">
        <f t="shared" si="2"/>
        <v>171</v>
      </c>
      <c r="B172" s="10" t="s">
        <v>171</v>
      </c>
      <c r="C172" s="11" t="s">
        <v>571</v>
      </c>
      <c r="D172" s="10" t="s">
        <v>454</v>
      </c>
      <c r="E172" s="10" t="s">
        <v>508</v>
      </c>
      <c r="F172" s="10" t="s">
        <v>541</v>
      </c>
      <c r="G172" s="10" t="s">
        <v>546</v>
      </c>
      <c r="H172" s="10" t="s">
        <v>555</v>
      </c>
      <c r="I172" s="1">
        <v>55.48</v>
      </c>
      <c r="J172" s="10">
        <v>6</v>
      </c>
      <c r="K172" s="10">
        <v>0</v>
      </c>
      <c r="L172" s="10">
        <v>50.04</v>
      </c>
    </row>
    <row r="173" spans="1:12" x14ac:dyDescent="0.35">
      <c r="A173" s="6">
        <f t="shared" si="2"/>
        <v>172</v>
      </c>
      <c r="B173" s="7" t="s">
        <v>172</v>
      </c>
      <c r="C173" s="8" t="s">
        <v>575</v>
      </c>
      <c r="D173" s="7" t="s">
        <v>403</v>
      </c>
      <c r="E173" s="7" t="s">
        <v>504</v>
      </c>
      <c r="F173" s="7" t="s">
        <v>540</v>
      </c>
      <c r="G173" s="7" t="s">
        <v>545</v>
      </c>
      <c r="H173" s="7" t="s">
        <v>558</v>
      </c>
      <c r="I173" s="2">
        <v>340.92</v>
      </c>
      <c r="J173" s="7">
        <v>5</v>
      </c>
      <c r="K173" s="7">
        <v>0.2</v>
      </c>
      <c r="L173" s="7">
        <v>339.92000000000007</v>
      </c>
    </row>
    <row r="174" spans="1:12" x14ac:dyDescent="0.35">
      <c r="A174" s="9">
        <f t="shared" si="2"/>
        <v>173</v>
      </c>
      <c r="B174" s="10" t="s">
        <v>173</v>
      </c>
      <c r="C174" s="11" t="s">
        <v>576</v>
      </c>
      <c r="D174" s="10" t="s">
        <v>403</v>
      </c>
      <c r="E174" s="10" t="s">
        <v>504</v>
      </c>
      <c r="F174" s="10" t="s">
        <v>540</v>
      </c>
      <c r="G174" s="10" t="s">
        <v>545</v>
      </c>
      <c r="H174" s="10" t="s">
        <v>558</v>
      </c>
      <c r="I174" s="1">
        <v>222.66599999999997</v>
      </c>
      <c r="J174" s="10">
        <v>4</v>
      </c>
      <c r="K174" s="10">
        <v>0.2</v>
      </c>
      <c r="L174" s="10">
        <v>10.528</v>
      </c>
    </row>
    <row r="175" spans="1:12" x14ac:dyDescent="0.35">
      <c r="A175" s="6">
        <f t="shared" si="2"/>
        <v>174</v>
      </c>
      <c r="B175" s="7" t="s">
        <v>174</v>
      </c>
      <c r="C175" s="8" t="s">
        <v>577</v>
      </c>
      <c r="D175" s="7" t="s">
        <v>403</v>
      </c>
      <c r="E175" s="7" t="s">
        <v>504</v>
      </c>
      <c r="F175" s="7" t="s">
        <v>540</v>
      </c>
      <c r="G175" s="7" t="s">
        <v>544</v>
      </c>
      <c r="H175" s="7" t="s">
        <v>549</v>
      </c>
      <c r="I175" s="2">
        <v>703.96800000000007</v>
      </c>
      <c r="J175" s="7">
        <v>2</v>
      </c>
      <c r="K175" s="7">
        <v>0.2</v>
      </c>
      <c r="L175" s="7">
        <v>42.384</v>
      </c>
    </row>
    <row r="176" spans="1:12" x14ac:dyDescent="0.35">
      <c r="A176" s="9">
        <f t="shared" si="2"/>
        <v>175</v>
      </c>
      <c r="B176" s="10" t="s">
        <v>175</v>
      </c>
      <c r="C176" s="11" t="s">
        <v>573</v>
      </c>
      <c r="D176" s="10" t="s">
        <v>424</v>
      </c>
      <c r="E176" s="10" t="s">
        <v>513</v>
      </c>
      <c r="F176" s="10" t="s">
        <v>541</v>
      </c>
      <c r="G176" s="10" t="s">
        <v>545</v>
      </c>
      <c r="H176" s="10" t="s">
        <v>557</v>
      </c>
      <c r="I176" s="1">
        <v>92.52</v>
      </c>
      <c r="J176" s="10">
        <v>5</v>
      </c>
      <c r="K176" s="10">
        <v>0.2</v>
      </c>
      <c r="L176" s="10">
        <v>123.92000000000002</v>
      </c>
    </row>
    <row r="177" spans="1:12" x14ac:dyDescent="0.35">
      <c r="A177" s="6">
        <f t="shared" si="2"/>
        <v>176</v>
      </c>
      <c r="B177" s="7" t="s">
        <v>176</v>
      </c>
      <c r="C177" s="8" t="s">
        <v>571</v>
      </c>
      <c r="D177" s="7" t="s">
        <v>424</v>
      </c>
      <c r="E177" s="7" t="s">
        <v>513</v>
      </c>
      <c r="F177" s="7" t="s">
        <v>541</v>
      </c>
      <c r="G177" s="7" t="s">
        <v>545</v>
      </c>
      <c r="H177" s="7" t="s">
        <v>550</v>
      </c>
      <c r="I177" s="2">
        <v>62.649999999999991</v>
      </c>
      <c r="J177" s="7">
        <v>1</v>
      </c>
      <c r="K177" s="7">
        <v>0</v>
      </c>
      <c r="L177" s="7">
        <v>135.94999999999999</v>
      </c>
    </row>
    <row r="178" spans="1:12" x14ac:dyDescent="0.35">
      <c r="A178" s="9">
        <f t="shared" si="2"/>
        <v>177</v>
      </c>
      <c r="B178" s="10" t="s">
        <v>177</v>
      </c>
      <c r="C178" s="11" t="s">
        <v>578</v>
      </c>
      <c r="D178" s="10" t="s">
        <v>414</v>
      </c>
      <c r="E178" s="10" t="s">
        <v>508</v>
      </c>
      <c r="F178" s="10" t="s">
        <v>541</v>
      </c>
      <c r="G178" s="10" t="s">
        <v>545</v>
      </c>
      <c r="H178" s="10" t="s">
        <v>557</v>
      </c>
      <c r="I178" s="1">
        <v>94.85</v>
      </c>
      <c r="J178" s="10">
        <v>8</v>
      </c>
      <c r="K178" s="10">
        <v>0.8</v>
      </c>
      <c r="L178" s="10">
        <v>2177.5839999999994</v>
      </c>
    </row>
    <row r="179" spans="1:12" x14ac:dyDescent="0.35">
      <c r="A179" s="6">
        <f t="shared" si="2"/>
        <v>178</v>
      </c>
      <c r="B179" s="7" t="s">
        <v>178</v>
      </c>
      <c r="C179" s="8" t="s">
        <v>573</v>
      </c>
      <c r="D179" s="7" t="s">
        <v>448</v>
      </c>
      <c r="E179" s="7" t="s">
        <v>527</v>
      </c>
      <c r="F179" s="7" t="s">
        <v>542</v>
      </c>
      <c r="G179" s="7" t="s">
        <v>544</v>
      </c>
      <c r="H179" s="7" t="s">
        <v>549</v>
      </c>
      <c r="I179" s="2">
        <v>95.76</v>
      </c>
      <c r="J179" s="7">
        <v>3</v>
      </c>
      <c r="K179" s="7">
        <v>0.6</v>
      </c>
      <c r="L179" s="7">
        <v>17.496000000000002</v>
      </c>
    </row>
    <row r="180" spans="1:12" x14ac:dyDescent="0.35">
      <c r="A180" s="9">
        <f t="shared" si="2"/>
        <v>179</v>
      </c>
      <c r="B180" s="10" t="s">
        <v>179</v>
      </c>
      <c r="C180" s="11" t="s">
        <v>572</v>
      </c>
      <c r="D180" s="10" t="s">
        <v>448</v>
      </c>
      <c r="E180" s="10" t="s">
        <v>527</v>
      </c>
      <c r="F180" s="10" t="s">
        <v>542</v>
      </c>
      <c r="G180" s="10" t="s">
        <v>545</v>
      </c>
      <c r="H180" s="10" t="s">
        <v>562</v>
      </c>
      <c r="I180" s="1">
        <v>40.200000000000003</v>
      </c>
      <c r="J180" s="10">
        <v>4</v>
      </c>
      <c r="K180" s="10">
        <v>0.8</v>
      </c>
      <c r="L180" s="10">
        <v>16.783999999999995</v>
      </c>
    </row>
    <row r="181" spans="1:12" x14ac:dyDescent="0.35">
      <c r="A181" s="6">
        <f t="shared" si="2"/>
        <v>180</v>
      </c>
      <c r="B181" s="7" t="s">
        <v>180</v>
      </c>
      <c r="C181" s="8" t="s">
        <v>571</v>
      </c>
      <c r="D181" s="7" t="s">
        <v>422</v>
      </c>
      <c r="E181" s="7" t="s">
        <v>518</v>
      </c>
      <c r="F181" s="7" t="s">
        <v>542</v>
      </c>
      <c r="G181" s="7" t="s">
        <v>545</v>
      </c>
      <c r="H181" s="7" t="s">
        <v>554</v>
      </c>
      <c r="I181" s="2">
        <v>14.7</v>
      </c>
      <c r="J181" s="7">
        <v>9</v>
      </c>
      <c r="K181" s="7">
        <v>0.2</v>
      </c>
      <c r="L181" s="7">
        <v>431.13600000000002</v>
      </c>
    </row>
    <row r="182" spans="1:12" x14ac:dyDescent="0.35">
      <c r="A182" s="9">
        <f t="shared" si="2"/>
        <v>181</v>
      </c>
      <c r="B182" s="10" t="s">
        <v>181</v>
      </c>
      <c r="C182" s="11" t="s">
        <v>571</v>
      </c>
      <c r="D182" s="10" t="s">
        <v>429</v>
      </c>
      <c r="E182" s="10" t="s">
        <v>513</v>
      </c>
      <c r="F182" s="10" t="s">
        <v>541</v>
      </c>
      <c r="G182" s="10" t="s">
        <v>545</v>
      </c>
      <c r="H182" s="10" t="s">
        <v>552</v>
      </c>
      <c r="I182" s="1">
        <v>704.25</v>
      </c>
      <c r="J182" s="10">
        <v>5</v>
      </c>
      <c r="K182" s="10">
        <v>0.8</v>
      </c>
      <c r="L182" s="10">
        <v>8.879999999999999</v>
      </c>
    </row>
    <row r="183" spans="1:12" x14ac:dyDescent="0.35">
      <c r="A183" s="6">
        <f t="shared" si="2"/>
        <v>182</v>
      </c>
      <c r="B183" s="7" t="s">
        <v>182</v>
      </c>
      <c r="C183" s="8" t="s">
        <v>572</v>
      </c>
      <c r="D183" s="7" t="s">
        <v>429</v>
      </c>
      <c r="E183" s="7" t="s">
        <v>513</v>
      </c>
      <c r="F183" s="7" t="s">
        <v>541</v>
      </c>
      <c r="G183" s="7" t="s">
        <v>546</v>
      </c>
      <c r="H183" s="7" t="s">
        <v>559</v>
      </c>
      <c r="I183" s="2">
        <v>9.09</v>
      </c>
      <c r="J183" s="7">
        <v>2</v>
      </c>
      <c r="K183" s="7">
        <v>0.8</v>
      </c>
      <c r="L183" s="7">
        <v>4.8359999999999985</v>
      </c>
    </row>
    <row r="184" spans="1:12" x14ac:dyDescent="0.35">
      <c r="A184" s="9">
        <f t="shared" si="2"/>
        <v>183</v>
      </c>
      <c r="B184" s="10" t="s">
        <v>183</v>
      </c>
      <c r="C184" s="11" t="s">
        <v>571</v>
      </c>
      <c r="D184" s="10" t="s">
        <v>455</v>
      </c>
      <c r="E184" s="10" t="s">
        <v>531</v>
      </c>
      <c r="F184" s="10" t="s">
        <v>539</v>
      </c>
      <c r="G184" s="10" t="s">
        <v>546</v>
      </c>
      <c r="H184" s="10" t="s">
        <v>555</v>
      </c>
      <c r="I184" s="1">
        <v>5.96</v>
      </c>
      <c r="J184" s="10">
        <v>3</v>
      </c>
      <c r="K184" s="10">
        <v>0</v>
      </c>
      <c r="L184" s="10">
        <v>437.84999999999997</v>
      </c>
    </row>
    <row r="185" spans="1:12" x14ac:dyDescent="0.35">
      <c r="A185" s="6">
        <f t="shared" si="2"/>
        <v>184</v>
      </c>
      <c r="B185" s="7" t="s">
        <v>184</v>
      </c>
      <c r="C185" s="8" t="s">
        <v>573</v>
      </c>
      <c r="D185" s="7" t="s">
        <v>455</v>
      </c>
      <c r="E185" s="7" t="s">
        <v>531</v>
      </c>
      <c r="F185" s="7" t="s">
        <v>539</v>
      </c>
      <c r="G185" s="7" t="s">
        <v>546</v>
      </c>
      <c r="H185" s="7" t="s">
        <v>555</v>
      </c>
      <c r="I185" s="2">
        <v>159.97999999999999</v>
      </c>
      <c r="J185" s="7">
        <v>2</v>
      </c>
      <c r="K185" s="7">
        <v>0.2</v>
      </c>
      <c r="L185" s="7">
        <v>673.5680000000001</v>
      </c>
    </row>
    <row r="186" spans="1:12" x14ac:dyDescent="0.35">
      <c r="A186" s="9">
        <f t="shared" si="2"/>
        <v>185</v>
      </c>
      <c r="B186" s="10" t="s">
        <v>185</v>
      </c>
      <c r="C186" s="11" t="s">
        <v>574</v>
      </c>
      <c r="D186" s="10" t="s">
        <v>455</v>
      </c>
      <c r="E186" s="10" t="s">
        <v>531</v>
      </c>
      <c r="F186" s="10" t="s">
        <v>539</v>
      </c>
      <c r="G186" s="10" t="s">
        <v>546</v>
      </c>
      <c r="H186" s="10" t="s">
        <v>559</v>
      </c>
      <c r="I186" s="1">
        <v>29.6</v>
      </c>
      <c r="J186" s="10">
        <v>5</v>
      </c>
      <c r="K186" s="10">
        <v>0</v>
      </c>
      <c r="L186" s="10">
        <v>274.8</v>
      </c>
    </row>
    <row r="187" spans="1:12" x14ac:dyDescent="0.35">
      <c r="A187" s="6">
        <f t="shared" si="2"/>
        <v>186</v>
      </c>
      <c r="B187" s="7" t="s">
        <v>186</v>
      </c>
      <c r="C187" s="8" t="s">
        <v>571</v>
      </c>
      <c r="D187" s="7" t="s">
        <v>456</v>
      </c>
      <c r="E187" s="7" t="s">
        <v>532</v>
      </c>
      <c r="F187" s="7" t="s">
        <v>542</v>
      </c>
      <c r="G187" s="7" t="s">
        <v>545</v>
      </c>
      <c r="H187" s="7" t="s">
        <v>556</v>
      </c>
      <c r="I187" s="2">
        <v>514.16499999999996</v>
      </c>
      <c r="J187" s="7">
        <v>1</v>
      </c>
      <c r="K187" s="7">
        <v>0</v>
      </c>
      <c r="L187" s="7">
        <v>62.18</v>
      </c>
    </row>
    <row r="188" spans="1:12" x14ac:dyDescent="0.35">
      <c r="A188" s="9">
        <f t="shared" si="2"/>
        <v>187</v>
      </c>
      <c r="B188" s="10" t="s">
        <v>187</v>
      </c>
      <c r="C188" s="11" t="s">
        <v>575</v>
      </c>
      <c r="D188" s="10" t="s">
        <v>403</v>
      </c>
      <c r="E188" s="10" t="s">
        <v>504</v>
      </c>
      <c r="F188" s="10" t="s">
        <v>540</v>
      </c>
      <c r="G188" s="10" t="s">
        <v>546</v>
      </c>
      <c r="H188" s="10" t="s">
        <v>559</v>
      </c>
      <c r="I188" s="1">
        <v>279.95999999999998</v>
      </c>
      <c r="J188" s="10">
        <v>2</v>
      </c>
      <c r="K188" s="10">
        <v>0</v>
      </c>
      <c r="L188" s="10">
        <v>8.2799999999999994</v>
      </c>
    </row>
    <row r="189" spans="1:12" x14ac:dyDescent="0.35">
      <c r="A189" s="6">
        <f t="shared" si="2"/>
        <v>188</v>
      </c>
      <c r="B189" s="7" t="s">
        <v>188</v>
      </c>
      <c r="C189" s="8" t="s">
        <v>576</v>
      </c>
      <c r="D189" s="7" t="s">
        <v>457</v>
      </c>
      <c r="E189" s="7" t="s">
        <v>508</v>
      </c>
      <c r="F189" s="7" t="s">
        <v>541</v>
      </c>
      <c r="G189" s="7" t="s">
        <v>545</v>
      </c>
      <c r="H189" s="7" t="s">
        <v>552</v>
      </c>
      <c r="I189" s="2">
        <v>2735.9520000000002</v>
      </c>
      <c r="J189" s="7">
        <v>3</v>
      </c>
      <c r="K189" s="7">
        <v>0</v>
      </c>
      <c r="L189" s="7">
        <v>48.81</v>
      </c>
    </row>
    <row r="190" spans="1:12" x14ac:dyDescent="0.35">
      <c r="A190" s="9">
        <f t="shared" si="2"/>
        <v>189</v>
      </c>
      <c r="B190" s="10" t="s">
        <v>189</v>
      </c>
      <c r="C190" s="11" t="s">
        <v>577</v>
      </c>
      <c r="D190" s="10" t="s">
        <v>457</v>
      </c>
      <c r="E190" s="10" t="s">
        <v>508</v>
      </c>
      <c r="F190" s="10" t="s">
        <v>541</v>
      </c>
      <c r="G190" s="10" t="s">
        <v>545</v>
      </c>
      <c r="H190" s="10" t="s">
        <v>558</v>
      </c>
      <c r="I190" s="1">
        <v>7.9920000000000009</v>
      </c>
      <c r="J190" s="10">
        <v>5</v>
      </c>
      <c r="K190" s="10">
        <v>0</v>
      </c>
      <c r="L190" s="10">
        <v>149.9</v>
      </c>
    </row>
    <row r="191" spans="1:12" x14ac:dyDescent="0.35">
      <c r="A191" s="6">
        <f t="shared" si="2"/>
        <v>190</v>
      </c>
      <c r="B191" s="7" t="s">
        <v>190</v>
      </c>
      <c r="C191" s="8" t="s">
        <v>573</v>
      </c>
      <c r="D191" s="7" t="s">
        <v>422</v>
      </c>
      <c r="E191" s="7" t="s">
        <v>518</v>
      </c>
      <c r="F191" s="7" t="s">
        <v>542</v>
      </c>
      <c r="G191" s="7" t="s">
        <v>544</v>
      </c>
      <c r="H191" s="7" t="s">
        <v>548</v>
      </c>
      <c r="I191" s="2">
        <v>63.984000000000009</v>
      </c>
      <c r="J191" s="7">
        <v>5</v>
      </c>
      <c r="K191" s="7">
        <v>0.32</v>
      </c>
      <c r="L191" s="7">
        <v>1023.3319999999999</v>
      </c>
    </row>
    <row r="192" spans="1:12" x14ac:dyDescent="0.35">
      <c r="A192" s="9">
        <f t="shared" si="2"/>
        <v>191</v>
      </c>
      <c r="B192" s="10" t="s">
        <v>191</v>
      </c>
      <c r="C192" s="11" t="s">
        <v>571</v>
      </c>
      <c r="D192" s="10" t="s">
        <v>422</v>
      </c>
      <c r="E192" s="10" t="s">
        <v>518</v>
      </c>
      <c r="F192" s="10" t="s">
        <v>542</v>
      </c>
      <c r="G192" s="10" t="s">
        <v>546</v>
      </c>
      <c r="H192" s="10" t="s">
        <v>555</v>
      </c>
      <c r="I192" s="1">
        <v>70.367999999999995</v>
      </c>
      <c r="J192" s="10">
        <v>3</v>
      </c>
      <c r="K192" s="10">
        <v>0.3</v>
      </c>
      <c r="L192" s="10">
        <v>600.55799999999999</v>
      </c>
    </row>
    <row r="193" spans="1:12" x14ac:dyDescent="0.35">
      <c r="A193" s="6">
        <f t="shared" si="2"/>
        <v>192</v>
      </c>
      <c r="B193" s="7" t="s">
        <v>192</v>
      </c>
      <c r="C193" s="8" t="s">
        <v>578</v>
      </c>
      <c r="D193" s="7" t="s">
        <v>422</v>
      </c>
      <c r="E193" s="7" t="s">
        <v>518</v>
      </c>
      <c r="F193" s="7" t="s">
        <v>542</v>
      </c>
      <c r="G193" s="7" t="s">
        <v>545</v>
      </c>
      <c r="H193" s="7" t="s">
        <v>558</v>
      </c>
      <c r="I193" s="2">
        <v>449.15</v>
      </c>
      <c r="J193" s="7">
        <v>1</v>
      </c>
      <c r="K193" s="7">
        <v>0.2</v>
      </c>
      <c r="L193" s="7">
        <v>39.992000000000004</v>
      </c>
    </row>
    <row r="194" spans="1:12" x14ac:dyDescent="0.35">
      <c r="A194" s="9">
        <f t="shared" si="2"/>
        <v>193</v>
      </c>
      <c r="B194" s="10" t="s">
        <v>193</v>
      </c>
      <c r="C194" s="11" t="s">
        <v>573</v>
      </c>
      <c r="D194" s="10" t="s">
        <v>422</v>
      </c>
      <c r="E194" s="10" t="s">
        <v>518</v>
      </c>
      <c r="F194" s="10" t="s">
        <v>542</v>
      </c>
      <c r="G194" s="10" t="s">
        <v>544</v>
      </c>
      <c r="H194" s="10" t="s">
        <v>548</v>
      </c>
      <c r="I194" s="1">
        <v>11.07</v>
      </c>
      <c r="J194" s="10">
        <v>2</v>
      </c>
      <c r="K194" s="10">
        <v>0.3</v>
      </c>
      <c r="L194" s="10">
        <v>211.24599999999998</v>
      </c>
    </row>
    <row r="195" spans="1:12" x14ac:dyDescent="0.35">
      <c r="A195" s="6">
        <f t="shared" ref="A195:A258" si="3">A194+1</f>
        <v>194</v>
      </c>
      <c r="B195" s="7" t="s">
        <v>194</v>
      </c>
      <c r="C195" s="8" t="s">
        <v>572</v>
      </c>
      <c r="D195" s="7" t="s">
        <v>422</v>
      </c>
      <c r="E195" s="7" t="s">
        <v>518</v>
      </c>
      <c r="F195" s="7" t="s">
        <v>542</v>
      </c>
      <c r="G195" s="7" t="s">
        <v>545</v>
      </c>
      <c r="H195" s="7" t="s">
        <v>554</v>
      </c>
      <c r="I195" s="2">
        <v>93.98</v>
      </c>
      <c r="J195" s="7">
        <v>6</v>
      </c>
      <c r="K195" s="7">
        <v>0.2</v>
      </c>
      <c r="L195" s="7">
        <v>56.063999999999993</v>
      </c>
    </row>
    <row r="196" spans="1:12" x14ac:dyDescent="0.35">
      <c r="A196" s="9">
        <f t="shared" si="3"/>
        <v>195</v>
      </c>
      <c r="B196" s="10" t="s">
        <v>195</v>
      </c>
      <c r="C196" s="11" t="s">
        <v>571</v>
      </c>
      <c r="D196" s="10" t="s">
        <v>458</v>
      </c>
      <c r="E196" s="10" t="s">
        <v>504</v>
      </c>
      <c r="F196" s="10" t="s">
        <v>540</v>
      </c>
      <c r="G196" s="10" t="s">
        <v>545</v>
      </c>
      <c r="H196" s="10" t="s">
        <v>560</v>
      </c>
      <c r="I196" s="1">
        <v>189.88200000000001</v>
      </c>
      <c r="J196" s="10">
        <v>2</v>
      </c>
      <c r="K196" s="10">
        <v>0.3</v>
      </c>
      <c r="L196" s="10">
        <v>107.77200000000001</v>
      </c>
    </row>
    <row r="197" spans="1:12" x14ac:dyDescent="0.35">
      <c r="A197" s="6">
        <f t="shared" si="3"/>
        <v>196</v>
      </c>
      <c r="B197" s="7" t="s">
        <v>196</v>
      </c>
      <c r="C197" s="8" t="s">
        <v>571</v>
      </c>
      <c r="D197" s="7" t="s">
        <v>459</v>
      </c>
      <c r="E197" s="7" t="s">
        <v>527</v>
      </c>
      <c r="F197" s="7" t="s">
        <v>542</v>
      </c>
      <c r="G197" s="7" t="s">
        <v>545</v>
      </c>
      <c r="H197" s="7" t="s">
        <v>554</v>
      </c>
      <c r="I197" s="2">
        <v>105.42</v>
      </c>
      <c r="J197" s="7">
        <v>1</v>
      </c>
      <c r="K197" s="7">
        <v>0.2</v>
      </c>
      <c r="L197" s="7">
        <v>4.8320000000000007</v>
      </c>
    </row>
    <row r="198" spans="1:12" x14ac:dyDescent="0.35">
      <c r="A198" s="9">
        <f t="shared" si="3"/>
        <v>197</v>
      </c>
      <c r="B198" s="10" t="s">
        <v>197</v>
      </c>
      <c r="C198" s="11" t="s">
        <v>572</v>
      </c>
      <c r="D198" s="10" t="s">
        <v>459</v>
      </c>
      <c r="E198" s="10" t="s">
        <v>527</v>
      </c>
      <c r="F198" s="10" t="s">
        <v>542</v>
      </c>
      <c r="G198" s="10" t="s">
        <v>545</v>
      </c>
      <c r="H198" s="10" t="s">
        <v>554</v>
      </c>
      <c r="I198" s="1">
        <v>119.61600000000001</v>
      </c>
      <c r="J198" s="10">
        <v>3</v>
      </c>
      <c r="K198" s="10">
        <v>0.8</v>
      </c>
      <c r="L198" s="10">
        <v>18.239999999999995</v>
      </c>
    </row>
    <row r="199" spans="1:12" x14ac:dyDescent="0.35">
      <c r="A199" s="6">
        <f t="shared" si="3"/>
        <v>198</v>
      </c>
      <c r="B199" s="7" t="s">
        <v>198</v>
      </c>
      <c r="C199" s="8" t="s">
        <v>571</v>
      </c>
      <c r="D199" s="7" t="s">
        <v>460</v>
      </c>
      <c r="E199" s="7" t="s">
        <v>533</v>
      </c>
      <c r="F199" s="7" t="s">
        <v>542</v>
      </c>
      <c r="G199" s="7" t="s">
        <v>545</v>
      </c>
      <c r="H199" s="7" t="s">
        <v>552</v>
      </c>
      <c r="I199" s="2">
        <v>255.76</v>
      </c>
      <c r="J199" s="7">
        <v>3</v>
      </c>
      <c r="K199" s="7">
        <v>0.8</v>
      </c>
      <c r="L199" s="7">
        <v>3.7979999999999992</v>
      </c>
    </row>
    <row r="200" spans="1:12" x14ac:dyDescent="0.35">
      <c r="A200" s="9">
        <f t="shared" si="3"/>
        <v>199</v>
      </c>
      <c r="B200" s="10" t="s">
        <v>199</v>
      </c>
      <c r="C200" s="11" t="s">
        <v>573</v>
      </c>
      <c r="D200" s="10" t="s">
        <v>412</v>
      </c>
      <c r="E200" s="10" t="s">
        <v>512</v>
      </c>
      <c r="F200" s="10" t="s">
        <v>542</v>
      </c>
      <c r="G200" s="10" t="s">
        <v>545</v>
      </c>
      <c r="H200" s="10" t="s">
        <v>556</v>
      </c>
      <c r="I200" s="1">
        <v>241.56799999999998</v>
      </c>
      <c r="J200" s="10">
        <v>2</v>
      </c>
      <c r="K200" s="10">
        <v>0.2</v>
      </c>
      <c r="L200" s="10">
        <v>10.368000000000002</v>
      </c>
    </row>
    <row r="201" spans="1:12" x14ac:dyDescent="0.35">
      <c r="A201" s="6">
        <f t="shared" si="3"/>
        <v>200</v>
      </c>
      <c r="B201" s="7" t="s">
        <v>200</v>
      </c>
      <c r="C201" s="8" t="s">
        <v>574</v>
      </c>
      <c r="D201" s="7" t="s">
        <v>412</v>
      </c>
      <c r="E201" s="7" t="s">
        <v>512</v>
      </c>
      <c r="F201" s="7" t="s">
        <v>542</v>
      </c>
      <c r="G201" s="7" t="s">
        <v>545</v>
      </c>
      <c r="H201" s="7" t="s">
        <v>558</v>
      </c>
      <c r="I201" s="2">
        <v>69.3</v>
      </c>
      <c r="J201" s="7">
        <v>2</v>
      </c>
      <c r="K201" s="7">
        <v>0.4</v>
      </c>
      <c r="L201" s="7">
        <v>235.18799999999999</v>
      </c>
    </row>
    <row r="202" spans="1:12" x14ac:dyDescent="0.35">
      <c r="A202" s="9">
        <f t="shared" si="3"/>
        <v>201</v>
      </c>
      <c r="B202" s="10" t="s">
        <v>201</v>
      </c>
      <c r="C202" s="11" t="s">
        <v>571</v>
      </c>
      <c r="D202" s="10" t="s">
        <v>461</v>
      </c>
      <c r="E202" s="10" t="s">
        <v>527</v>
      </c>
      <c r="F202" s="10" t="s">
        <v>542</v>
      </c>
      <c r="G202" s="10" t="s">
        <v>545</v>
      </c>
      <c r="H202" s="10" t="s">
        <v>558</v>
      </c>
      <c r="I202" s="1">
        <v>22.620000000000005</v>
      </c>
      <c r="J202" s="10">
        <v>4</v>
      </c>
      <c r="K202" s="10">
        <v>0.4</v>
      </c>
      <c r="L202" s="10">
        <v>26.376000000000001</v>
      </c>
    </row>
    <row r="203" spans="1:12" x14ac:dyDescent="0.35">
      <c r="A203" s="6">
        <f t="shared" si="3"/>
        <v>202</v>
      </c>
      <c r="B203" s="7" t="s">
        <v>202</v>
      </c>
      <c r="C203" s="8" t="s">
        <v>575</v>
      </c>
      <c r="D203" s="7" t="s">
        <v>462</v>
      </c>
      <c r="E203" s="7" t="s">
        <v>525</v>
      </c>
      <c r="F203" s="7" t="s">
        <v>540</v>
      </c>
      <c r="G203" s="7" t="s">
        <v>544</v>
      </c>
      <c r="H203" s="7" t="s">
        <v>551</v>
      </c>
      <c r="I203" s="2">
        <v>14.952000000000004</v>
      </c>
      <c r="J203" s="7">
        <v>2</v>
      </c>
      <c r="K203" s="7">
        <v>0.2</v>
      </c>
      <c r="L203" s="7">
        <v>10.384</v>
      </c>
    </row>
    <row r="204" spans="1:12" x14ac:dyDescent="0.35">
      <c r="A204" s="9">
        <f t="shared" si="3"/>
        <v>203</v>
      </c>
      <c r="B204" s="10" t="s">
        <v>203</v>
      </c>
      <c r="C204" s="11" t="s">
        <v>576</v>
      </c>
      <c r="D204" s="10" t="s">
        <v>462</v>
      </c>
      <c r="E204" s="10" t="s">
        <v>525</v>
      </c>
      <c r="F204" s="10" t="s">
        <v>540</v>
      </c>
      <c r="G204" s="10" t="s">
        <v>545</v>
      </c>
      <c r="H204" s="10" t="s">
        <v>557</v>
      </c>
      <c r="I204" s="1">
        <v>801.5680000000001</v>
      </c>
      <c r="J204" s="10">
        <v>3</v>
      </c>
      <c r="K204" s="10">
        <v>0.4</v>
      </c>
      <c r="L204" s="10">
        <v>107.11799999999999</v>
      </c>
    </row>
    <row r="205" spans="1:12" x14ac:dyDescent="0.35">
      <c r="A205" s="6">
        <f t="shared" si="3"/>
        <v>204</v>
      </c>
      <c r="B205" s="7" t="s">
        <v>204</v>
      </c>
      <c r="C205" s="8" t="s">
        <v>577</v>
      </c>
      <c r="D205" s="7" t="s">
        <v>463</v>
      </c>
      <c r="E205" s="7" t="s">
        <v>508</v>
      </c>
      <c r="F205" s="7" t="s">
        <v>541</v>
      </c>
      <c r="G205" s="7" t="s">
        <v>545</v>
      </c>
      <c r="H205" s="7" t="s">
        <v>557</v>
      </c>
      <c r="I205" s="2">
        <v>2.3760000000000003</v>
      </c>
      <c r="J205" s="7">
        <v>7</v>
      </c>
      <c r="K205" s="7">
        <v>0</v>
      </c>
      <c r="L205" s="7">
        <v>97.3</v>
      </c>
    </row>
    <row r="206" spans="1:12" x14ac:dyDescent="0.35">
      <c r="A206" s="9">
        <f t="shared" si="3"/>
        <v>205</v>
      </c>
      <c r="B206" s="10" t="s">
        <v>205</v>
      </c>
      <c r="C206" s="11" t="s">
        <v>573</v>
      </c>
      <c r="D206" s="10" t="s">
        <v>449</v>
      </c>
      <c r="E206" s="10" t="s">
        <v>521</v>
      </c>
      <c r="F206" s="10" t="s">
        <v>539</v>
      </c>
      <c r="G206" s="10" t="s">
        <v>544</v>
      </c>
      <c r="H206" s="10" t="s">
        <v>553</v>
      </c>
      <c r="I206" s="1">
        <v>32.792000000000002</v>
      </c>
      <c r="J206" s="10">
        <v>2</v>
      </c>
      <c r="K206" s="10">
        <v>0.2</v>
      </c>
      <c r="L206" s="10">
        <v>3.3280000000000003</v>
      </c>
    </row>
    <row r="207" spans="1:12" x14ac:dyDescent="0.35">
      <c r="A207" s="6">
        <f t="shared" si="3"/>
        <v>206</v>
      </c>
      <c r="B207" s="7" t="s">
        <v>206</v>
      </c>
      <c r="C207" s="8" t="s">
        <v>571</v>
      </c>
      <c r="D207" s="7" t="s">
        <v>464</v>
      </c>
      <c r="E207" s="7" t="s">
        <v>504</v>
      </c>
      <c r="F207" s="7" t="s">
        <v>540</v>
      </c>
      <c r="G207" s="7" t="s">
        <v>546</v>
      </c>
      <c r="H207" s="7" t="s">
        <v>555</v>
      </c>
      <c r="I207" s="2">
        <v>15.920000000000002</v>
      </c>
      <c r="J207" s="7">
        <v>1</v>
      </c>
      <c r="K207" s="7">
        <v>0</v>
      </c>
      <c r="L207" s="7">
        <v>135.99</v>
      </c>
    </row>
    <row r="208" spans="1:12" x14ac:dyDescent="0.35">
      <c r="A208" s="9">
        <f t="shared" si="3"/>
        <v>207</v>
      </c>
      <c r="B208" s="10" t="s">
        <v>207</v>
      </c>
      <c r="C208" s="11" t="s">
        <v>578</v>
      </c>
      <c r="D208" s="10" t="s">
        <v>465</v>
      </c>
      <c r="E208" s="10" t="s">
        <v>515</v>
      </c>
      <c r="F208" s="10" t="s">
        <v>541</v>
      </c>
      <c r="G208" s="10" t="s">
        <v>545</v>
      </c>
      <c r="H208" s="10" t="s">
        <v>552</v>
      </c>
      <c r="I208" s="1">
        <v>2.74</v>
      </c>
      <c r="J208" s="10">
        <v>1</v>
      </c>
      <c r="K208" s="10">
        <v>0</v>
      </c>
      <c r="L208" s="10">
        <v>7.38</v>
      </c>
    </row>
    <row r="209" spans="1:12" x14ac:dyDescent="0.35">
      <c r="A209" s="6">
        <f t="shared" si="3"/>
        <v>208</v>
      </c>
      <c r="B209" s="7" t="s">
        <v>208</v>
      </c>
      <c r="C209" s="8" t="s">
        <v>573</v>
      </c>
      <c r="D209" s="7" t="s">
        <v>465</v>
      </c>
      <c r="E209" s="7" t="s">
        <v>515</v>
      </c>
      <c r="F209" s="7" t="s">
        <v>541</v>
      </c>
      <c r="G209" s="7" t="s">
        <v>546</v>
      </c>
      <c r="H209" s="7" t="s">
        <v>555</v>
      </c>
      <c r="I209" s="2">
        <v>8.34</v>
      </c>
      <c r="J209" s="7">
        <v>2</v>
      </c>
      <c r="K209" s="7">
        <v>0.2</v>
      </c>
      <c r="L209" s="7">
        <v>45.568000000000005</v>
      </c>
    </row>
    <row r="210" spans="1:12" x14ac:dyDescent="0.35">
      <c r="A210" s="9">
        <f t="shared" si="3"/>
        <v>209</v>
      </c>
      <c r="B210" s="10" t="s">
        <v>209</v>
      </c>
      <c r="C210" s="11" t="s">
        <v>572</v>
      </c>
      <c r="D210" s="10" t="s">
        <v>465</v>
      </c>
      <c r="E210" s="10" t="s">
        <v>515</v>
      </c>
      <c r="F210" s="10" t="s">
        <v>541</v>
      </c>
      <c r="G210" s="10" t="s">
        <v>545</v>
      </c>
      <c r="H210" s="10" t="s">
        <v>556</v>
      </c>
      <c r="I210" s="1">
        <v>46.74</v>
      </c>
      <c r="J210" s="10">
        <v>8</v>
      </c>
      <c r="K210" s="10">
        <v>0.7</v>
      </c>
      <c r="L210" s="10">
        <v>28.752000000000006</v>
      </c>
    </row>
    <row r="211" spans="1:12" x14ac:dyDescent="0.35">
      <c r="A211" s="6">
        <f t="shared" si="3"/>
        <v>210</v>
      </c>
      <c r="B211" s="7" t="s">
        <v>210</v>
      </c>
      <c r="C211" s="8" t="s">
        <v>571</v>
      </c>
      <c r="D211" s="7" t="s">
        <v>465</v>
      </c>
      <c r="E211" s="7" t="s">
        <v>515</v>
      </c>
      <c r="F211" s="7" t="s">
        <v>541</v>
      </c>
      <c r="G211" s="7" t="s">
        <v>545</v>
      </c>
      <c r="H211" s="7" t="s">
        <v>561</v>
      </c>
      <c r="I211" s="2">
        <v>6354.95</v>
      </c>
      <c r="J211" s="7">
        <v>4</v>
      </c>
      <c r="K211" s="7">
        <v>0.2</v>
      </c>
      <c r="L211" s="7">
        <v>194.84800000000001</v>
      </c>
    </row>
    <row r="212" spans="1:12" x14ac:dyDescent="0.35">
      <c r="A212" s="9">
        <f t="shared" si="3"/>
        <v>211</v>
      </c>
      <c r="B212" s="10" t="s">
        <v>211</v>
      </c>
      <c r="C212" s="11" t="s">
        <v>571</v>
      </c>
      <c r="D212" s="10" t="s">
        <v>465</v>
      </c>
      <c r="E212" s="10" t="s">
        <v>515</v>
      </c>
      <c r="F212" s="10" t="s">
        <v>541</v>
      </c>
      <c r="G212" s="10" t="s">
        <v>545</v>
      </c>
      <c r="H212" s="10" t="s">
        <v>552</v>
      </c>
      <c r="I212" s="1">
        <v>126.30000000000001</v>
      </c>
      <c r="J212" s="10">
        <v>2</v>
      </c>
      <c r="K212" s="10">
        <v>0.8</v>
      </c>
      <c r="L212" s="10">
        <v>2.1119999999999997</v>
      </c>
    </row>
    <row r="213" spans="1:12" x14ac:dyDescent="0.35">
      <c r="A213" s="6">
        <f t="shared" si="3"/>
        <v>212</v>
      </c>
      <c r="B213" s="7" t="s">
        <v>212</v>
      </c>
      <c r="C213" s="8" t="s">
        <v>572</v>
      </c>
      <c r="D213" s="7" t="s">
        <v>463</v>
      </c>
      <c r="E213" s="7" t="s">
        <v>508</v>
      </c>
      <c r="F213" s="7" t="s">
        <v>541</v>
      </c>
      <c r="G213" s="7" t="s">
        <v>546</v>
      </c>
      <c r="H213" s="7" t="s">
        <v>559</v>
      </c>
      <c r="I213" s="2">
        <v>38.04</v>
      </c>
      <c r="J213" s="7">
        <v>5</v>
      </c>
      <c r="K213" s="7">
        <v>0.2</v>
      </c>
      <c r="L213" s="7">
        <v>25.920000000000005</v>
      </c>
    </row>
    <row r="214" spans="1:12" x14ac:dyDescent="0.35">
      <c r="A214" s="9">
        <f t="shared" si="3"/>
        <v>213</v>
      </c>
      <c r="B214" s="10" t="s">
        <v>213</v>
      </c>
      <c r="C214" s="11" t="s">
        <v>571</v>
      </c>
      <c r="D214" s="10" t="s">
        <v>466</v>
      </c>
      <c r="E214" s="10" t="s">
        <v>527</v>
      </c>
      <c r="F214" s="10" t="s">
        <v>542</v>
      </c>
      <c r="G214" s="10" t="s">
        <v>545</v>
      </c>
      <c r="H214" s="10" t="s">
        <v>550</v>
      </c>
      <c r="I214" s="1">
        <v>7.1519999999999992</v>
      </c>
      <c r="J214" s="10">
        <v>4</v>
      </c>
      <c r="K214" s="10">
        <v>0.2</v>
      </c>
      <c r="L214" s="10">
        <v>120.76800000000001</v>
      </c>
    </row>
    <row r="215" spans="1:12" x14ac:dyDescent="0.35">
      <c r="A215" s="6">
        <f t="shared" si="3"/>
        <v>214</v>
      </c>
      <c r="B215" s="7" t="s">
        <v>214</v>
      </c>
      <c r="C215" s="8" t="s">
        <v>573</v>
      </c>
      <c r="D215" s="7" t="s">
        <v>466</v>
      </c>
      <c r="E215" s="7" t="s">
        <v>527</v>
      </c>
      <c r="F215" s="7" t="s">
        <v>542</v>
      </c>
      <c r="G215" s="7" t="s">
        <v>544</v>
      </c>
      <c r="H215" s="7" t="s">
        <v>548</v>
      </c>
      <c r="I215" s="2">
        <v>6.63</v>
      </c>
      <c r="J215" s="7">
        <v>4</v>
      </c>
      <c r="K215" s="7">
        <v>0</v>
      </c>
      <c r="L215" s="7">
        <v>25.92</v>
      </c>
    </row>
    <row r="216" spans="1:12" x14ac:dyDescent="0.35">
      <c r="A216" s="9">
        <f t="shared" si="3"/>
        <v>215</v>
      </c>
      <c r="B216" s="10" t="s">
        <v>215</v>
      </c>
      <c r="C216" s="11" t="s">
        <v>574</v>
      </c>
      <c r="D216" s="10" t="s">
        <v>466</v>
      </c>
      <c r="E216" s="10" t="s">
        <v>527</v>
      </c>
      <c r="F216" s="10" t="s">
        <v>542</v>
      </c>
      <c r="G216" s="10" t="s">
        <v>546</v>
      </c>
      <c r="H216" s="10" t="s">
        <v>555</v>
      </c>
      <c r="I216" s="1">
        <v>5.88</v>
      </c>
      <c r="J216" s="10">
        <v>3</v>
      </c>
      <c r="K216" s="10">
        <v>0</v>
      </c>
      <c r="L216" s="10">
        <v>34.650000000000006</v>
      </c>
    </row>
    <row r="217" spans="1:12" x14ac:dyDescent="0.35">
      <c r="A217" s="6">
        <f t="shared" si="3"/>
        <v>216</v>
      </c>
      <c r="B217" s="7" t="s">
        <v>216</v>
      </c>
      <c r="C217" s="8" t="s">
        <v>571</v>
      </c>
      <c r="D217" s="7" t="s">
        <v>466</v>
      </c>
      <c r="E217" s="7" t="s">
        <v>527</v>
      </c>
      <c r="F217" s="7" t="s">
        <v>542</v>
      </c>
      <c r="G217" s="7" t="s">
        <v>546</v>
      </c>
      <c r="H217" s="7" t="s">
        <v>563</v>
      </c>
      <c r="I217" s="2">
        <v>2999.95</v>
      </c>
      <c r="J217" s="7">
        <v>5</v>
      </c>
      <c r="K217" s="7">
        <v>0</v>
      </c>
      <c r="L217" s="7">
        <v>204.95000000000002</v>
      </c>
    </row>
    <row r="218" spans="1:12" x14ac:dyDescent="0.35">
      <c r="A218" s="9">
        <f t="shared" si="3"/>
        <v>217</v>
      </c>
      <c r="B218" s="10" t="s">
        <v>217</v>
      </c>
      <c r="C218" s="11" t="s">
        <v>575</v>
      </c>
      <c r="D218" s="10" t="s">
        <v>466</v>
      </c>
      <c r="E218" s="10" t="s">
        <v>527</v>
      </c>
      <c r="F218" s="10" t="s">
        <v>542</v>
      </c>
      <c r="G218" s="10" t="s">
        <v>546</v>
      </c>
      <c r="H218" s="10" t="s">
        <v>559</v>
      </c>
      <c r="I218" s="1">
        <v>51.449999999999996</v>
      </c>
      <c r="J218" s="10">
        <v>5</v>
      </c>
      <c r="K218" s="10">
        <v>0</v>
      </c>
      <c r="L218" s="10">
        <v>79.95</v>
      </c>
    </row>
    <row r="219" spans="1:12" x14ac:dyDescent="0.35">
      <c r="A219" s="6">
        <f t="shared" si="3"/>
        <v>218</v>
      </c>
      <c r="B219" s="7" t="s">
        <v>218</v>
      </c>
      <c r="C219" s="8" t="s">
        <v>576</v>
      </c>
      <c r="D219" s="7" t="s">
        <v>403</v>
      </c>
      <c r="E219" s="7" t="s">
        <v>504</v>
      </c>
      <c r="F219" s="7" t="s">
        <v>540</v>
      </c>
      <c r="G219" s="7" t="s">
        <v>545</v>
      </c>
      <c r="H219" s="7" t="s">
        <v>552</v>
      </c>
      <c r="I219" s="2">
        <v>11.96</v>
      </c>
      <c r="J219" s="7">
        <v>7</v>
      </c>
      <c r="K219" s="7">
        <v>0.2</v>
      </c>
      <c r="L219" s="7">
        <v>173.48800000000003</v>
      </c>
    </row>
    <row r="220" spans="1:12" x14ac:dyDescent="0.35">
      <c r="A220" s="9">
        <f t="shared" si="3"/>
        <v>219</v>
      </c>
      <c r="B220" s="10" t="s">
        <v>219</v>
      </c>
      <c r="C220" s="11" t="s">
        <v>577</v>
      </c>
      <c r="D220" s="10" t="s">
        <v>403</v>
      </c>
      <c r="E220" s="10" t="s">
        <v>504</v>
      </c>
      <c r="F220" s="10" t="s">
        <v>540</v>
      </c>
      <c r="G220" s="10" t="s">
        <v>546</v>
      </c>
      <c r="H220" s="10" t="s">
        <v>555</v>
      </c>
      <c r="I220" s="1">
        <v>1126.02</v>
      </c>
      <c r="J220" s="10">
        <v>4</v>
      </c>
      <c r="K220" s="10">
        <v>0.2</v>
      </c>
      <c r="L220" s="10">
        <v>516.96</v>
      </c>
    </row>
    <row r="221" spans="1:12" x14ac:dyDescent="0.35">
      <c r="A221" s="6">
        <f t="shared" si="3"/>
        <v>220</v>
      </c>
      <c r="B221" s="7" t="s">
        <v>220</v>
      </c>
      <c r="C221" s="8" t="s">
        <v>573</v>
      </c>
      <c r="D221" s="7" t="s">
        <v>467</v>
      </c>
      <c r="E221" s="7" t="s">
        <v>527</v>
      </c>
      <c r="F221" s="7" t="s">
        <v>542</v>
      </c>
      <c r="G221" s="7" t="s">
        <v>545</v>
      </c>
      <c r="H221" s="7" t="s">
        <v>561</v>
      </c>
      <c r="I221" s="2">
        <v>18.391999999999999</v>
      </c>
      <c r="J221" s="7">
        <v>7</v>
      </c>
      <c r="K221" s="7">
        <v>0.2</v>
      </c>
      <c r="L221" s="7">
        <v>173.208</v>
      </c>
    </row>
    <row r="222" spans="1:12" x14ac:dyDescent="0.35">
      <c r="A222" s="9">
        <f t="shared" si="3"/>
        <v>221</v>
      </c>
      <c r="B222" s="10" t="s">
        <v>221</v>
      </c>
      <c r="C222" s="11" t="s">
        <v>571</v>
      </c>
      <c r="D222" s="10" t="s">
        <v>467</v>
      </c>
      <c r="E222" s="10" t="s">
        <v>527</v>
      </c>
      <c r="F222" s="10" t="s">
        <v>542</v>
      </c>
      <c r="G222" s="10" t="s">
        <v>545</v>
      </c>
      <c r="H222" s="10" t="s">
        <v>558</v>
      </c>
      <c r="I222" s="1">
        <v>129.56800000000001</v>
      </c>
      <c r="J222" s="10">
        <v>2</v>
      </c>
      <c r="K222" s="10">
        <v>0.2</v>
      </c>
      <c r="L222" s="10">
        <v>4.4479999999999995</v>
      </c>
    </row>
    <row r="223" spans="1:12" x14ac:dyDescent="0.35">
      <c r="A223" s="6">
        <f t="shared" si="3"/>
        <v>222</v>
      </c>
      <c r="B223" s="7" t="s">
        <v>222</v>
      </c>
      <c r="C223" s="8" t="s">
        <v>578</v>
      </c>
      <c r="D223" s="7" t="s">
        <v>467</v>
      </c>
      <c r="E223" s="7" t="s">
        <v>527</v>
      </c>
      <c r="F223" s="7" t="s">
        <v>542</v>
      </c>
      <c r="G223" s="7" t="s">
        <v>545</v>
      </c>
      <c r="H223" s="7" t="s">
        <v>556</v>
      </c>
      <c r="I223" s="2">
        <v>14.111999999999997</v>
      </c>
      <c r="J223" s="7">
        <v>3</v>
      </c>
      <c r="K223" s="7">
        <v>0.2</v>
      </c>
      <c r="L223" s="7">
        <v>9</v>
      </c>
    </row>
    <row r="224" spans="1:12" x14ac:dyDescent="0.35">
      <c r="A224" s="9">
        <f t="shared" si="3"/>
        <v>223</v>
      </c>
      <c r="B224" s="10" t="s">
        <v>223</v>
      </c>
      <c r="C224" s="11" t="s">
        <v>573</v>
      </c>
      <c r="D224" s="10" t="s">
        <v>467</v>
      </c>
      <c r="E224" s="10" t="s">
        <v>527</v>
      </c>
      <c r="F224" s="10" t="s">
        <v>542</v>
      </c>
      <c r="G224" s="10" t="s">
        <v>544</v>
      </c>
      <c r="H224" s="10" t="s">
        <v>553</v>
      </c>
      <c r="I224" s="1">
        <v>210.98</v>
      </c>
      <c r="J224" s="10">
        <v>10</v>
      </c>
      <c r="K224" s="10">
        <v>0.2</v>
      </c>
      <c r="L224" s="10">
        <v>42.24</v>
      </c>
    </row>
    <row r="225" spans="1:12" x14ac:dyDescent="0.35">
      <c r="A225" s="6">
        <f t="shared" si="3"/>
        <v>224</v>
      </c>
      <c r="B225" s="7" t="s">
        <v>224</v>
      </c>
      <c r="C225" s="8" t="s">
        <v>572</v>
      </c>
      <c r="D225" s="7" t="s">
        <v>467</v>
      </c>
      <c r="E225" s="7" t="s">
        <v>527</v>
      </c>
      <c r="F225" s="7" t="s">
        <v>542</v>
      </c>
      <c r="G225" s="7" t="s">
        <v>546</v>
      </c>
      <c r="H225" s="7" t="s">
        <v>563</v>
      </c>
      <c r="I225" s="2">
        <v>55.176000000000002</v>
      </c>
      <c r="J225" s="7">
        <v>2</v>
      </c>
      <c r="K225" s="7">
        <v>0.7</v>
      </c>
      <c r="L225" s="7">
        <v>18.264000000000003</v>
      </c>
    </row>
    <row r="226" spans="1:12" x14ac:dyDescent="0.35">
      <c r="A226" s="9">
        <f t="shared" si="3"/>
        <v>225</v>
      </c>
      <c r="B226" s="10" t="s">
        <v>225</v>
      </c>
      <c r="C226" s="11" t="s">
        <v>571</v>
      </c>
      <c r="D226" s="10" t="s">
        <v>467</v>
      </c>
      <c r="E226" s="10" t="s">
        <v>527</v>
      </c>
      <c r="F226" s="10" t="s">
        <v>542</v>
      </c>
      <c r="G226" s="10" t="s">
        <v>545</v>
      </c>
      <c r="H226" s="10" t="s">
        <v>554</v>
      </c>
      <c r="I226" s="1">
        <v>66.260000000000005</v>
      </c>
      <c r="J226" s="10">
        <v>3</v>
      </c>
      <c r="K226" s="10">
        <v>0</v>
      </c>
      <c r="L226" s="10">
        <v>152.91</v>
      </c>
    </row>
    <row r="227" spans="1:12" x14ac:dyDescent="0.35">
      <c r="A227" s="6">
        <f t="shared" si="3"/>
        <v>226</v>
      </c>
      <c r="B227" s="7" t="s">
        <v>226</v>
      </c>
      <c r="C227" s="8" t="s">
        <v>571</v>
      </c>
      <c r="D227" s="7" t="s">
        <v>468</v>
      </c>
      <c r="E227" s="7" t="s">
        <v>515</v>
      </c>
      <c r="F227" s="7" t="s">
        <v>541</v>
      </c>
      <c r="G227" s="7" t="s">
        <v>545</v>
      </c>
      <c r="H227" s="7" t="s">
        <v>554</v>
      </c>
      <c r="I227" s="2">
        <v>22.200000000000003</v>
      </c>
      <c r="J227" s="7">
        <v>3</v>
      </c>
      <c r="K227" s="7">
        <v>0</v>
      </c>
      <c r="L227" s="7">
        <v>92.94</v>
      </c>
    </row>
    <row r="228" spans="1:12" x14ac:dyDescent="0.35">
      <c r="A228" s="9">
        <f t="shared" si="3"/>
        <v>227</v>
      </c>
      <c r="B228" s="10" t="s">
        <v>227</v>
      </c>
      <c r="C228" s="11" t="s">
        <v>572</v>
      </c>
      <c r="D228" s="10" t="s">
        <v>468</v>
      </c>
      <c r="E228" s="10" t="s">
        <v>515</v>
      </c>
      <c r="F228" s="10" t="s">
        <v>541</v>
      </c>
      <c r="G228" s="10" t="s">
        <v>544</v>
      </c>
      <c r="H228" s="10" t="s">
        <v>551</v>
      </c>
      <c r="I228" s="1">
        <v>683.95200000000011</v>
      </c>
      <c r="J228" s="10">
        <v>4</v>
      </c>
      <c r="K228" s="10">
        <v>0.2</v>
      </c>
      <c r="L228" s="10">
        <v>17.856000000000002</v>
      </c>
    </row>
    <row r="229" spans="1:12" x14ac:dyDescent="0.35">
      <c r="A229" s="6">
        <f t="shared" si="3"/>
        <v>228</v>
      </c>
      <c r="B229" s="7" t="s">
        <v>228</v>
      </c>
      <c r="C229" s="8" t="s">
        <v>571</v>
      </c>
      <c r="D229" s="7" t="s">
        <v>468</v>
      </c>
      <c r="E229" s="7" t="s">
        <v>515</v>
      </c>
      <c r="F229" s="7" t="s">
        <v>541</v>
      </c>
      <c r="G229" s="7" t="s">
        <v>545</v>
      </c>
      <c r="H229" s="7" t="s">
        <v>552</v>
      </c>
      <c r="I229" s="2">
        <v>45.695999999999998</v>
      </c>
      <c r="J229" s="7">
        <v>3</v>
      </c>
      <c r="K229" s="7">
        <v>0.2</v>
      </c>
      <c r="L229" s="7">
        <v>46.440000000000005</v>
      </c>
    </row>
    <row r="230" spans="1:12" x14ac:dyDescent="0.35">
      <c r="A230" s="9">
        <f t="shared" si="3"/>
        <v>229</v>
      </c>
      <c r="B230" s="10" t="s">
        <v>229</v>
      </c>
      <c r="C230" s="11" t="s">
        <v>573</v>
      </c>
      <c r="D230" s="10" t="s">
        <v>431</v>
      </c>
      <c r="E230" s="10" t="s">
        <v>521</v>
      </c>
      <c r="F230" s="10" t="s">
        <v>539</v>
      </c>
      <c r="G230" s="10" t="s">
        <v>544</v>
      </c>
      <c r="H230" s="10" t="s">
        <v>549</v>
      </c>
      <c r="I230" s="1">
        <v>36.336000000000006</v>
      </c>
      <c r="J230" s="10">
        <v>4</v>
      </c>
      <c r="K230" s="10">
        <v>0.2</v>
      </c>
      <c r="L230" s="10">
        <v>195.136</v>
      </c>
    </row>
    <row r="231" spans="1:12" x14ac:dyDescent="0.35">
      <c r="A231" s="6">
        <f t="shared" si="3"/>
        <v>230</v>
      </c>
      <c r="B231" s="7" t="s">
        <v>230</v>
      </c>
      <c r="C231" s="8" t="s">
        <v>574</v>
      </c>
      <c r="D231" s="7" t="s">
        <v>431</v>
      </c>
      <c r="E231" s="7" t="s">
        <v>521</v>
      </c>
      <c r="F231" s="7" t="s">
        <v>539</v>
      </c>
      <c r="G231" s="7" t="s">
        <v>544</v>
      </c>
      <c r="H231" s="7" t="s">
        <v>549</v>
      </c>
      <c r="I231" s="2">
        <v>666.24800000000005</v>
      </c>
      <c r="J231" s="7">
        <v>2</v>
      </c>
      <c r="K231" s="7">
        <v>0</v>
      </c>
      <c r="L231" s="7">
        <v>129.30000000000001</v>
      </c>
    </row>
    <row r="232" spans="1:12" x14ac:dyDescent="0.35">
      <c r="A232" s="9">
        <f t="shared" si="3"/>
        <v>231</v>
      </c>
      <c r="B232" s="10" t="s">
        <v>231</v>
      </c>
      <c r="C232" s="11" t="s">
        <v>571</v>
      </c>
      <c r="D232" s="10" t="s">
        <v>437</v>
      </c>
      <c r="E232" s="10" t="s">
        <v>506</v>
      </c>
      <c r="F232" s="10" t="s">
        <v>539</v>
      </c>
      <c r="G232" s="10" t="s">
        <v>545</v>
      </c>
      <c r="H232" s="10" t="s">
        <v>556</v>
      </c>
      <c r="I232" s="1">
        <v>52.512</v>
      </c>
      <c r="J232" s="10">
        <v>3</v>
      </c>
      <c r="K232" s="10">
        <v>0.2</v>
      </c>
      <c r="L232" s="10">
        <v>11.568000000000001</v>
      </c>
    </row>
    <row r="233" spans="1:12" x14ac:dyDescent="0.35">
      <c r="A233" s="6">
        <f t="shared" si="3"/>
        <v>232</v>
      </c>
      <c r="B233" s="7" t="s">
        <v>232</v>
      </c>
      <c r="C233" s="8" t="s">
        <v>575</v>
      </c>
      <c r="D233" s="7" t="s">
        <v>469</v>
      </c>
      <c r="E233" s="7" t="s">
        <v>505</v>
      </c>
      <c r="F233" s="7" t="s">
        <v>539</v>
      </c>
      <c r="G233" s="7" t="s">
        <v>544</v>
      </c>
      <c r="H233" s="7" t="s">
        <v>551</v>
      </c>
      <c r="I233" s="2">
        <v>190.72000000000003</v>
      </c>
      <c r="J233" s="7">
        <v>3</v>
      </c>
      <c r="K233" s="7">
        <v>0.2</v>
      </c>
      <c r="L233" s="7">
        <v>242.35200000000003</v>
      </c>
    </row>
    <row r="234" spans="1:12" x14ac:dyDescent="0.35">
      <c r="A234" s="9">
        <f t="shared" si="3"/>
        <v>233</v>
      </c>
      <c r="B234" s="10" t="s">
        <v>233</v>
      </c>
      <c r="C234" s="11" t="s">
        <v>576</v>
      </c>
      <c r="D234" s="10" t="s">
        <v>469</v>
      </c>
      <c r="E234" s="10" t="s">
        <v>505</v>
      </c>
      <c r="F234" s="10" t="s">
        <v>539</v>
      </c>
      <c r="G234" s="10" t="s">
        <v>544</v>
      </c>
      <c r="H234" s="10" t="s">
        <v>551</v>
      </c>
      <c r="I234" s="1">
        <v>47.94</v>
      </c>
      <c r="J234" s="10">
        <v>4</v>
      </c>
      <c r="K234" s="10">
        <v>0.2</v>
      </c>
      <c r="L234" s="10">
        <v>319.96800000000002</v>
      </c>
    </row>
    <row r="235" spans="1:12" x14ac:dyDescent="0.35">
      <c r="A235" s="6">
        <f t="shared" si="3"/>
        <v>234</v>
      </c>
      <c r="B235" s="7" t="s">
        <v>234</v>
      </c>
      <c r="C235" s="8" t="s">
        <v>577</v>
      </c>
      <c r="D235" s="7" t="s">
        <v>469</v>
      </c>
      <c r="E235" s="7" t="s">
        <v>505</v>
      </c>
      <c r="F235" s="7" t="s">
        <v>539</v>
      </c>
      <c r="G235" s="7" t="s">
        <v>545</v>
      </c>
      <c r="H235" s="7" t="s">
        <v>556</v>
      </c>
      <c r="I235" s="2">
        <v>979.95</v>
      </c>
      <c r="J235" s="7">
        <v>7</v>
      </c>
      <c r="K235" s="7">
        <v>0.6</v>
      </c>
      <c r="L235" s="7">
        <v>8.6240000000000023</v>
      </c>
    </row>
    <row r="236" spans="1:12" x14ac:dyDescent="0.35">
      <c r="A236" s="9">
        <f t="shared" si="3"/>
        <v>235</v>
      </c>
      <c r="B236" s="10" t="s">
        <v>235</v>
      </c>
      <c r="C236" s="11" t="s">
        <v>573</v>
      </c>
      <c r="D236" s="10" t="s">
        <v>469</v>
      </c>
      <c r="E236" s="10" t="s">
        <v>505</v>
      </c>
      <c r="F236" s="10" t="s">
        <v>539</v>
      </c>
      <c r="G236" s="10" t="s">
        <v>544</v>
      </c>
      <c r="H236" s="10" t="s">
        <v>553</v>
      </c>
      <c r="I236" s="1">
        <v>22.75</v>
      </c>
      <c r="J236" s="10">
        <v>1</v>
      </c>
      <c r="K236" s="10">
        <v>0.2</v>
      </c>
      <c r="L236" s="10">
        <v>3.9840000000000004</v>
      </c>
    </row>
    <row r="237" spans="1:12" x14ac:dyDescent="0.35">
      <c r="A237" s="6">
        <f t="shared" si="3"/>
        <v>236</v>
      </c>
      <c r="B237" s="7" t="s">
        <v>236</v>
      </c>
      <c r="C237" s="8" t="s">
        <v>571</v>
      </c>
      <c r="D237" s="7" t="s">
        <v>469</v>
      </c>
      <c r="E237" s="7" t="s">
        <v>505</v>
      </c>
      <c r="F237" s="7" t="s">
        <v>539</v>
      </c>
      <c r="G237" s="7" t="s">
        <v>546</v>
      </c>
      <c r="H237" s="7" t="s">
        <v>559</v>
      </c>
      <c r="I237" s="2">
        <v>16.768000000000001</v>
      </c>
      <c r="J237" s="7">
        <v>7</v>
      </c>
      <c r="K237" s="7">
        <v>0.2</v>
      </c>
      <c r="L237" s="7">
        <v>895.94400000000019</v>
      </c>
    </row>
    <row r="238" spans="1:12" x14ac:dyDescent="0.35">
      <c r="A238" s="9">
        <f t="shared" si="3"/>
        <v>237</v>
      </c>
      <c r="B238" s="10" t="s">
        <v>237</v>
      </c>
      <c r="C238" s="11" t="s">
        <v>578</v>
      </c>
      <c r="D238" s="10" t="s">
        <v>470</v>
      </c>
      <c r="E238" s="10" t="s">
        <v>504</v>
      </c>
      <c r="F238" s="10" t="s">
        <v>540</v>
      </c>
      <c r="G238" s="10" t="s">
        <v>545</v>
      </c>
      <c r="H238" s="10" t="s">
        <v>558</v>
      </c>
      <c r="I238" s="1">
        <v>42.615999999999993</v>
      </c>
      <c r="J238" s="10">
        <v>4</v>
      </c>
      <c r="K238" s="10">
        <v>0.6</v>
      </c>
      <c r="L238" s="10">
        <v>14</v>
      </c>
    </row>
    <row r="239" spans="1:12" x14ac:dyDescent="0.35">
      <c r="A239" s="6">
        <f t="shared" si="3"/>
        <v>238</v>
      </c>
      <c r="B239" s="7" t="s">
        <v>238</v>
      </c>
      <c r="C239" s="8" t="s">
        <v>573</v>
      </c>
      <c r="D239" s="7" t="s">
        <v>424</v>
      </c>
      <c r="E239" s="7" t="s">
        <v>513</v>
      </c>
      <c r="F239" s="7" t="s">
        <v>541</v>
      </c>
      <c r="G239" s="7" t="s">
        <v>545</v>
      </c>
      <c r="H239" s="7" t="s">
        <v>558</v>
      </c>
      <c r="I239" s="2">
        <v>10.752000000000001</v>
      </c>
      <c r="J239" s="7">
        <v>2</v>
      </c>
      <c r="K239" s="7">
        <v>0.8</v>
      </c>
      <c r="L239" s="7">
        <v>16.391999999999996</v>
      </c>
    </row>
    <row r="240" spans="1:12" x14ac:dyDescent="0.35">
      <c r="A240" s="9">
        <f t="shared" si="3"/>
        <v>239</v>
      </c>
      <c r="B240" s="10" t="s">
        <v>239</v>
      </c>
      <c r="C240" s="11" t="s">
        <v>572</v>
      </c>
      <c r="D240" s="10" t="s">
        <v>424</v>
      </c>
      <c r="E240" s="10" t="s">
        <v>513</v>
      </c>
      <c r="F240" s="10" t="s">
        <v>541</v>
      </c>
      <c r="G240" s="10" t="s">
        <v>544</v>
      </c>
      <c r="H240" s="10" t="s">
        <v>553</v>
      </c>
      <c r="I240" s="1">
        <v>152.94</v>
      </c>
      <c r="J240" s="10">
        <v>5</v>
      </c>
      <c r="K240" s="10">
        <v>0</v>
      </c>
      <c r="L240" s="10">
        <v>10.9</v>
      </c>
    </row>
    <row r="241" spans="1:12" x14ac:dyDescent="0.35">
      <c r="A241" s="6">
        <f t="shared" si="3"/>
        <v>240</v>
      </c>
      <c r="B241" s="7" t="s">
        <v>240</v>
      </c>
      <c r="C241" s="8" t="s">
        <v>571</v>
      </c>
      <c r="D241" s="7" t="s">
        <v>424</v>
      </c>
      <c r="E241" s="7" t="s">
        <v>513</v>
      </c>
      <c r="F241" s="7" t="s">
        <v>541</v>
      </c>
      <c r="G241" s="7" t="s">
        <v>544</v>
      </c>
      <c r="H241" s="7" t="s">
        <v>553</v>
      </c>
      <c r="I241" s="2">
        <v>283.92</v>
      </c>
      <c r="J241" s="7">
        <v>2</v>
      </c>
      <c r="K241" s="7">
        <v>0</v>
      </c>
      <c r="L241" s="7">
        <v>29.6</v>
      </c>
    </row>
    <row r="242" spans="1:12" x14ac:dyDescent="0.35">
      <c r="A242" s="9">
        <f t="shared" si="3"/>
        <v>241</v>
      </c>
      <c r="B242" s="10" t="s">
        <v>241</v>
      </c>
      <c r="C242" s="11" t="s">
        <v>571</v>
      </c>
      <c r="D242" s="10" t="s">
        <v>424</v>
      </c>
      <c r="E242" s="10" t="s">
        <v>513</v>
      </c>
      <c r="F242" s="10" t="s">
        <v>541</v>
      </c>
      <c r="G242" s="10" t="s">
        <v>546</v>
      </c>
      <c r="H242" s="10" t="s">
        <v>555</v>
      </c>
      <c r="I242" s="1">
        <v>468.90000000000003</v>
      </c>
      <c r="J242" s="10">
        <v>1</v>
      </c>
      <c r="K242" s="10">
        <v>0</v>
      </c>
      <c r="L242" s="10">
        <v>4.9800000000000004</v>
      </c>
    </row>
    <row r="243" spans="1:12" x14ac:dyDescent="0.35">
      <c r="A243" s="6">
        <f t="shared" si="3"/>
        <v>242</v>
      </c>
      <c r="B243" s="7" t="s">
        <v>242</v>
      </c>
      <c r="C243" s="8" t="s">
        <v>572</v>
      </c>
      <c r="D243" s="7" t="s">
        <v>424</v>
      </c>
      <c r="E243" s="7" t="s">
        <v>513</v>
      </c>
      <c r="F243" s="7" t="s">
        <v>541</v>
      </c>
      <c r="G243" s="7" t="s">
        <v>544</v>
      </c>
      <c r="H243" s="7" t="s">
        <v>551</v>
      </c>
      <c r="I243" s="2">
        <v>380.86400000000003</v>
      </c>
      <c r="J243" s="7">
        <v>3</v>
      </c>
      <c r="K243" s="7">
        <v>0.2</v>
      </c>
      <c r="L243" s="7">
        <v>479.97600000000006</v>
      </c>
    </row>
    <row r="244" spans="1:12" x14ac:dyDescent="0.35">
      <c r="A244" s="9">
        <f t="shared" si="3"/>
        <v>243</v>
      </c>
      <c r="B244" s="10" t="s">
        <v>243</v>
      </c>
      <c r="C244" s="11" t="s">
        <v>571</v>
      </c>
      <c r="D244" s="10" t="s">
        <v>424</v>
      </c>
      <c r="E244" s="10" t="s">
        <v>513</v>
      </c>
      <c r="F244" s="10" t="s">
        <v>541</v>
      </c>
      <c r="G244" s="10" t="s">
        <v>544</v>
      </c>
      <c r="H244" s="10" t="s">
        <v>553</v>
      </c>
      <c r="I244" s="1">
        <v>646.77600000000007</v>
      </c>
      <c r="J244" s="10">
        <v>8</v>
      </c>
      <c r="K244" s="10">
        <v>0.2</v>
      </c>
      <c r="L244" s="10">
        <v>44.736000000000004</v>
      </c>
    </row>
    <row r="245" spans="1:12" x14ac:dyDescent="0.35">
      <c r="A245" s="6">
        <f t="shared" si="3"/>
        <v>244</v>
      </c>
      <c r="B245" s="7" t="s">
        <v>244</v>
      </c>
      <c r="C245" s="8" t="s">
        <v>573</v>
      </c>
      <c r="D245" s="7" t="s">
        <v>424</v>
      </c>
      <c r="E245" s="7" t="s">
        <v>513</v>
      </c>
      <c r="F245" s="7" t="s">
        <v>541</v>
      </c>
      <c r="G245" s="7" t="s">
        <v>545</v>
      </c>
      <c r="H245" s="7" t="s">
        <v>554</v>
      </c>
      <c r="I245" s="2">
        <v>58.112000000000002</v>
      </c>
      <c r="J245" s="7">
        <v>2</v>
      </c>
      <c r="K245" s="7">
        <v>0</v>
      </c>
      <c r="L245" s="7">
        <v>5.76</v>
      </c>
    </row>
    <row r="246" spans="1:12" x14ac:dyDescent="0.35">
      <c r="A246" s="9">
        <f t="shared" si="3"/>
        <v>245</v>
      </c>
      <c r="B246" s="10" t="s">
        <v>245</v>
      </c>
      <c r="C246" s="11" t="s">
        <v>574</v>
      </c>
      <c r="D246" s="10" t="s">
        <v>471</v>
      </c>
      <c r="E246" s="10" t="s">
        <v>514</v>
      </c>
      <c r="F246" s="10" t="s">
        <v>541</v>
      </c>
      <c r="G246" s="10" t="s">
        <v>544</v>
      </c>
      <c r="H246" s="10" t="s">
        <v>549</v>
      </c>
      <c r="I246" s="1">
        <v>100.792</v>
      </c>
      <c r="J246" s="10">
        <v>4</v>
      </c>
      <c r="K246" s="10">
        <v>0.2</v>
      </c>
      <c r="L246" s="10">
        <v>483.13599999999997</v>
      </c>
    </row>
    <row r="247" spans="1:12" x14ac:dyDescent="0.35">
      <c r="A247" s="6">
        <f t="shared" si="3"/>
        <v>246</v>
      </c>
      <c r="B247" s="7" t="s">
        <v>246</v>
      </c>
      <c r="C247" s="8" t="s">
        <v>571</v>
      </c>
      <c r="D247" s="7" t="s">
        <v>471</v>
      </c>
      <c r="E247" s="7" t="s">
        <v>514</v>
      </c>
      <c r="F247" s="7" t="s">
        <v>541</v>
      </c>
      <c r="G247" s="7" t="s">
        <v>545</v>
      </c>
      <c r="H247" s="7" t="s">
        <v>552</v>
      </c>
      <c r="I247" s="2">
        <v>66.112000000000009</v>
      </c>
      <c r="J247" s="7">
        <v>4</v>
      </c>
      <c r="K247" s="7">
        <v>0.2</v>
      </c>
      <c r="L247" s="7">
        <v>15.936000000000002</v>
      </c>
    </row>
    <row r="248" spans="1:12" x14ac:dyDescent="0.35">
      <c r="A248" s="9">
        <f t="shared" si="3"/>
        <v>247</v>
      </c>
      <c r="B248" s="10" t="s">
        <v>247</v>
      </c>
      <c r="C248" s="11" t="s">
        <v>575</v>
      </c>
      <c r="D248" s="10" t="s">
        <v>471</v>
      </c>
      <c r="E248" s="10" t="s">
        <v>514</v>
      </c>
      <c r="F248" s="10" t="s">
        <v>541</v>
      </c>
      <c r="G248" s="10" t="s">
        <v>545</v>
      </c>
      <c r="H248" s="10" t="s">
        <v>558</v>
      </c>
      <c r="I248" s="1">
        <v>41.28</v>
      </c>
      <c r="J248" s="10">
        <v>7</v>
      </c>
      <c r="K248" s="10">
        <v>0.6</v>
      </c>
      <c r="L248" s="10">
        <v>61.543999999999997</v>
      </c>
    </row>
    <row r="249" spans="1:12" x14ac:dyDescent="0.35">
      <c r="A249" s="6">
        <f t="shared" si="3"/>
        <v>248</v>
      </c>
      <c r="B249" s="7" t="s">
        <v>248</v>
      </c>
      <c r="C249" s="8" t="s">
        <v>576</v>
      </c>
      <c r="D249" s="7" t="s">
        <v>471</v>
      </c>
      <c r="E249" s="7" t="s">
        <v>514</v>
      </c>
      <c r="F249" s="7" t="s">
        <v>541</v>
      </c>
      <c r="G249" s="7" t="s">
        <v>545</v>
      </c>
      <c r="H249" s="7" t="s">
        <v>557</v>
      </c>
      <c r="I249" s="2">
        <v>13.36</v>
      </c>
      <c r="J249" s="7">
        <v>3</v>
      </c>
      <c r="K249" s="7">
        <v>0.2</v>
      </c>
      <c r="L249" s="7">
        <v>132.696</v>
      </c>
    </row>
    <row r="250" spans="1:12" x14ac:dyDescent="0.35">
      <c r="A250" s="9">
        <f t="shared" si="3"/>
        <v>249</v>
      </c>
      <c r="B250" s="10" t="s">
        <v>249</v>
      </c>
      <c r="C250" s="11" t="s">
        <v>577</v>
      </c>
      <c r="D250" s="10" t="s">
        <v>471</v>
      </c>
      <c r="E250" s="10" t="s">
        <v>514</v>
      </c>
      <c r="F250" s="10" t="s">
        <v>541</v>
      </c>
      <c r="G250" s="10" t="s">
        <v>545</v>
      </c>
      <c r="H250" s="10" t="s">
        <v>558</v>
      </c>
      <c r="I250" s="1">
        <v>250.27199999999999</v>
      </c>
      <c r="J250" s="10">
        <v>5</v>
      </c>
      <c r="K250" s="10">
        <v>0</v>
      </c>
      <c r="L250" s="10">
        <v>43.099999999999994</v>
      </c>
    </row>
    <row r="251" spans="1:12" x14ac:dyDescent="0.35">
      <c r="A251" s="6">
        <f t="shared" si="3"/>
        <v>250</v>
      </c>
      <c r="B251" s="7" t="s">
        <v>250</v>
      </c>
      <c r="C251" s="8" t="s">
        <v>573</v>
      </c>
      <c r="D251" s="7" t="s">
        <v>410</v>
      </c>
      <c r="E251" s="7" t="s">
        <v>504</v>
      </c>
      <c r="F251" s="7" t="s">
        <v>540</v>
      </c>
      <c r="G251" s="7" t="s">
        <v>544</v>
      </c>
      <c r="H251" s="7" t="s">
        <v>549</v>
      </c>
      <c r="I251" s="2">
        <v>11.363999999999997</v>
      </c>
      <c r="J251" s="7">
        <v>5</v>
      </c>
      <c r="K251" s="7">
        <v>0</v>
      </c>
      <c r="L251" s="7">
        <v>511.5</v>
      </c>
    </row>
    <row r="252" spans="1:12" x14ac:dyDescent="0.35">
      <c r="A252" s="9">
        <f t="shared" si="3"/>
        <v>251</v>
      </c>
      <c r="B252" s="10" t="s">
        <v>251</v>
      </c>
      <c r="C252" s="11" t="s">
        <v>571</v>
      </c>
      <c r="D252" s="10" t="s">
        <v>472</v>
      </c>
      <c r="E252" s="10" t="s">
        <v>504</v>
      </c>
      <c r="F252" s="10" t="s">
        <v>540</v>
      </c>
      <c r="G252" s="10" t="s">
        <v>545</v>
      </c>
      <c r="H252" s="10" t="s">
        <v>558</v>
      </c>
      <c r="I252" s="1">
        <v>8.7200000000000006</v>
      </c>
      <c r="J252" s="10">
        <v>5</v>
      </c>
      <c r="K252" s="10">
        <v>0.2</v>
      </c>
      <c r="L252" s="10">
        <v>147.91999999999999</v>
      </c>
    </row>
    <row r="253" spans="1:12" x14ac:dyDescent="0.35">
      <c r="A253" s="6">
        <f t="shared" si="3"/>
        <v>252</v>
      </c>
      <c r="B253" s="7" t="s">
        <v>252</v>
      </c>
      <c r="C253" s="8" t="s">
        <v>578</v>
      </c>
      <c r="D253" s="7" t="s">
        <v>472</v>
      </c>
      <c r="E253" s="7" t="s">
        <v>504</v>
      </c>
      <c r="F253" s="7" t="s">
        <v>540</v>
      </c>
      <c r="G253" s="7" t="s">
        <v>546</v>
      </c>
      <c r="H253" s="7" t="s">
        <v>559</v>
      </c>
      <c r="I253" s="2">
        <v>1121.568</v>
      </c>
      <c r="J253" s="7">
        <v>2</v>
      </c>
      <c r="K253" s="7">
        <v>0</v>
      </c>
      <c r="L253" s="7">
        <v>39.68</v>
      </c>
    </row>
    <row r="254" spans="1:12" x14ac:dyDescent="0.35">
      <c r="A254" s="9">
        <f t="shared" si="3"/>
        <v>253</v>
      </c>
      <c r="B254" s="10" t="s">
        <v>253</v>
      </c>
      <c r="C254" s="11" t="s">
        <v>573</v>
      </c>
      <c r="D254" s="10" t="s">
        <v>422</v>
      </c>
      <c r="E254" s="10" t="s">
        <v>518</v>
      </c>
      <c r="F254" s="10" t="s">
        <v>542</v>
      </c>
      <c r="G254" s="10" t="s">
        <v>545</v>
      </c>
      <c r="H254" s="10" t="s">
        <v>552</v>
      </c>
      <c r="I254" s="1">
        <v>34.504000000000005</v>
      </c>
      <c r="J254" s="10">
        <v>2</v>
      </c>
      <c r="K254" s="10">
        <v>0</v>
      </c>
      <c r="L254" s="10">
        <v>12.56</v>
      </c>
    </row>
    <row r="255" spans="1:12" x14ac:dyDescent="0.35">
      <c r="A255" s="6">
        <f t="shared" si="3"/>
        <v>254</v>
      </c>
      <c r="B255" s="7" t="s">
        <v>254</v>
      </c>
      <c r="C255" s="8" t="s">
        <v>572</v>
      </c>
      <c r="D255" s="7" t="s">
        <v>422</v>
      </c>
      <c r="E255" s="7" t="s">
        <v>518</v>
      </c>
      <c r="F255" s="7" t="s">
        <v>542</v>
      </c>
      <c r="G255" s="7" t="s">
        <v>545</v>
      </c>
      <c r="H255" s="7" t="s">
        <v>560</v>
      </c>
      <c r="I255" s="2">
        <v>10.824</v>
      </c>
      <c r="J255" s="7">
        <v>3</v>
      </c>
      <c r="K255" s="7">
        <v>0.2</v>
      </c>
      <c r="L255" s="7">
        <v>90.480000000000018</v>
      </c>
    </row>
    <row r="256" spans="1:12" x14ac:dyDescent="0.35">
      <c r="A256" s="9">
        <f t="shared" si="3"/>
        <v>255</v>
      </c>
      <c r="B256" s="10" t="s">
        <v>255</v>
      </c>
      <c r="C256" s="11" t="s">
        <v>571</v>
      </c>
      <c r="D256" s="10" t="s">
        <v>424</v>
      </c>
      <c r="E256" s="10" t="s">
        <v>513</v>
      </c>
      <c r="F256" s="10" t="s">
        <v>541</v>
      </c>
      <c r="G256" s="10" t="s">
        <v>544</v>
      </c>
      <c r="H256" s="10" t="s">
        <v>553</v>
      </c>
      <c r="I256" s="1">
        <v>1295.78</v>
      </c>
      <c r="J256" s="10">
        <v>2</v>
      </c>
      <c r="K256" s="10">
        <v>0</v>
      </c>
      <c r="L256" s="10">
        <v>13.08</v>
      </c>
    </row>
    <row r="257" spans="1:12" x14ac:dyDescent="0.35">
      <c r="A257" s="6">
        <f t="shared" si="3"/>
        <v>256</v>
      </c>
      <c r="B257" s="7" t="s">
        <v>256</v>
      </c>
      <c r="C257" s="8" t="s">
        <v>571</v>
      </c>
      <c r="D257" s="7" t="s">
        <v>424</v>
      </c>
      <c r="E257" s="7" t="s">
        <v>513</v>
      </c>
      <c r="F257" s="7" t="s">
        <v>541</v>
      </c>
      <c r="G257" s="7" t="s">
        <v>545</v>
      </c>
      <c r="H257" s="7" t="s">
        <v>552</v>
      </c>
      <c r="I257" s="2">
        <v>19.456000000000003</v>
      </c>
      <c r="J257" s="7">
        <v>5</v>
      </c>
      <c r="K257" s="7">
        <v>0</v>
      </c>
      <c r="L257" s="7">
        <v>214.7</v>
      </c>
    </row>
    <row r="258" spans="1:12" x14ac:dyDescent="0.35">
      <c r="A258" s="9">
        <f t="shared" si="3"/>
        <v>257</v>
      </c>
      <c r="B258" s="10" t="s">
        <v>257</v>
      </c>
      <c r="C258" s="11" t="s">
        <v>572</v>
      </c>
      <c r="D258" s="10" t="s">
        <v>424</v>
      </c>
      <c r="E258" s="10" t="s">
        <v>513</v>
      </c>
      <c r="F258" s="10" t="s">
        <v>541</v>
      </c>
      <c r="G258" s="10" t="s">
        <v>545</v>
      </c>
      <c r="H258" s="10" t="s">
        <v>552</v>
      </c>
      <c r="I258" s="1">
        <v>20.7</v>
      </c>
      <c r="J258" s="10">
        <v>4</v>
      </c>
      <c r="K258" s="10">
        <v>0</v>
      </c>
      <c r="L258" s="10">
        <v>50.32</v>
      </c>
    </row>
    <row r="259" spans="1:12" x14ac:dyDescent="0.35">
      <c r="A259" s="6">
        <f t="shared" ref="A259:A322" si="4">A258+1</f>
        <v>258</v>
      </c>
      <c r="B259" s="7" t="s">
        <v>258</v>
      </c>
      <c r="C259" s="8" t="s">
        <v>571</v>
      </c>
      <c r="D259" s="7" t="s">
        <v>424</v>
      </c>
      <c r="E259" s="7" t="s">
        <v>513</v>
      </c>
      <c r="F259" s="7" t="s">
        <v>541</v>
      </c>
      <c r="G259" s="7" t="s">
        <v>546</v>
      </c>
      <c r="H259" s="7" t="s">
        <v>555</v>
      </c>
      <c r="I259" s="2">
        <v>1335.68</v>
      </c>
      <c r="J259" s="7">
        <v>2</v>
      </c>
      <c r="K259" s="7">
        <v>0</v>
      </c>
      <c r="L259" s="7">
        <v>24.56</v>
      </c>
    </row>
    <row r="260" spans="1:12" x14ac:dyDescent="0.35">
      <c r="A260" s="9">
        <f t="shared" si="4"/>
        <v>259</v>
      </c>
      <c r="B260" s="10" t="s">
        <v>259</v>
      </c>
      <c r="C260" s="11" t="s">
        <v>573</v>
      </c>
      <c r="D260" s="10" t="s">
        <v>422</v>
      </c>
      <c r="E260" s="10" t="s">
        <v>518</v>
      </c>
      <c r="F260" s="10" t="s">
        <v>542</v>
      </c>
      <c r="G260" s="10" t="s">
        <v>546</v>
      </c>
      <c r="H260" s="10" t="s">
        <v>559</v>
      </c>
      <c r="I260" s="1">
        <v>32.400000000000006</v>
      </c>
      <c r="J260" s="10">
        <v>6</v>
      </c>
      <c r="K260" s="10">
        <v>0</v>
      </c>
      <c r="L260" s="10">
        <v>43.68</v>
      </c>
    </row>
    <row r="261" spans="1:12" x14ac:dyDescent="0.35">
      <c r="A261" s="6">
        <f t="shared" si="4"/>
        <v>260</v>
      </c>
      <c r="B261" s="7" t="s">
        <v>260</v>
      </c>
      <c r="C261" s="8" t="s">
        <v>574</v>
      </c>
      <c r="D261" s="7" t="s">
        <v>422</v>
      </c>
      <c r="E261" s="7" t="s">
        <v>518</v>
      </c>
      <c r="F261" s="7" t="s">
        <v>542</v>
      </c>
      <c r="G261" s="7" t="s">
        <v>545</v>
      </c>
      <c r="H261" s="7" t="s">
        <v>552</v>
      </c>
      <c r="I261" s="2">
        <v>42.599999999999994</v>
      </c>
      <c r="J261" s="7">
        <v>8</v>
      </c>
      <c r="K261" s="7">
        <v>0</v>
      </c>
      <c r="L261" s="7">
        <v>3393.68</v>
      </c>
    </row>
    <row r="262" spans="1:12" x14ac:dyDescent="0.35">
      <c r="A262" s="9">
        <f t="shared" si="4"/>
        <v>261</v>
      </c>
      <c r="B262" s="10" t="s">
        <v>261</v>
      </c>
      <c r="C262" s="11" t="s">
        <v>571</v>
      </c>
      <c r="D262" s="10" t="s">
        <v>422</v>
      </c>
      <c r="E262" s="10" t="s">
        <v>518</v>
      </c>
      <c r="F262" s="10" t="s">
        <v>542</v>
      </c>
      <c r="G262" s="10" t="s">
        <v>545</v>
      </c>
      <c r="H262" s="10" t="s">
        <v>556</v>
      </c>
      <c r="I262" s="1">
        <v>84.056000000000012</v>
      </c>
      <c r="J262" s="10">
        <v>5</v>
      </c>
      <c r="K262" s="10">
        <v>0</v>
      </c>
      <c r="L262" s="10">
        <v>67.400000000000006</v>
      </c>
    </row>
    <row r="263" spans="1:12" x14ac:dyDescent="0.35">
      <c r="A263" s="6">
        <f t="shared" si="4"/>
        <v>262</v>
      </c>
      <c r="B263" s="7" t="s">
        <v>262</v>
      </c>
      <c r="C263" s="8" t="s">
        <v>575</v>
      </c>
      <c r="D263" s="7" t="s">
        <v>447</v>
      </c>
      <c r="E263" s="7" t="s">
        <v>508</v>
      </c>
      <c r="F263" s="7" t="s">
        <v>541</v>
      </c>
      <c r="G263" s="7" t="s">
        <v>545</v>
      </c>
      <c r="H263" s="7" t="s">
        <v>557</v>
      </c>
      <c r="I263" s="2">
        <v>13</v>
      </c>
      <c r="J263" s="7">
        <v>2</v>
      </c>
      <c r="K263" s="7">
        <v>0</v>
      </c>
      <c r="L263" s="7">
        <v>2.52</v>
      </c>
    </row>
    <row r="264" spans="1:12" x14ac:dyDescent="0.35">
      <c r="A264" s="9">
        <f t="shared" si="4"/>
        <v>263</v>
      </c>
      <c r="B264" s="10" t="s">
        <v>263</v>
      </c>
      <c r="C264" s="11" t="s">
        <v>576</v>
      </c>
      <c r="D264" s="10" t="s">
        <v>414</v>
      </c>
      <c r="E264" s="10" t="s">
        <v>508</v>
      </c>
      <c r="F264" s="10" t="s">
        <v>541</v>
      </c>
      <c r="G264" s="10" t="s">
        <v>546</v>
      </c>
      <c r="H264" s="10" t="s">
        <v>563</v>
      </c>
      <c r="I264" s="1">
        <v>13.128</v>
      </c>
      <c r="J264" s="10">
        <v>4</v>
      </c>
      <c r="K264" s="10">
        <v>0</v>
      </c>
      <c r="L264" s="10">
        <v>67.8</v>
      </c>
    </row>
    <row r="265" spans="1:12" x14ac:dyDescent="0.35">
      <c r="A265" s="6">
        <f t="shared" si="4"/>
        <v>264</v>
      </c>
      <c r="B265" s="7" t="s">
        <v>264</v>
      </c>
      <c r="C265" s="8" t="s">
        <v>577</v>
      </c>
      <c r="D265" s="7" t="s">
        <v>414</v>
      </c>
      <c r="E265" s="7" t="s">
        <v>508</v>
      </c>
      <c r="F265" s="7" t="s">
        <v>541</v>
      </c>
      <c r="G265" s="7" t="s">
        <v>546</v>
      </c>
      <c r="H265" s="7" t="s">
        <v>563</v>
      </c>
      <c r="I265" s="2">
        <v>3.96</v>
      </c>
      <c r="J265" s="7">
        <v>2</v>
      </c>
      <c r="K265" s="7">
        <v>0</v>
      </c>
      <c r="L265" s="7">
        <v>18.760000000000002</v>
      </c>
    </row>
    <row r="266" spans="1:12" x14ac:dyDescent="0.35">
      <c r="A266" s="9">
        <f t="shared" si="4"/>
        <v>265</v>
      </c>
      <c r="B266" s="10" t="s">
        <v>265</v>
      </c>
      <c r="C266" s="11" t="s">
        <v>573</v>
      </c>
      <c r="D266" s="10" t="s">
        <v>424</v>
      </c>
      <c r="E266" s="10" t="s">
        <v>513</v>
      </c>
      <c r="F266" s="10" t="s">
        <v>541</v>
      </c>
      <c r="G266" s="10" t="s">
        <v>546</v>
      </c>
      <c r="H266" s="10" t="s">
        <v>555</v>
      </c>
      <c r="I266" s="1">
        <v>2.61</v>
      </c>
      <c r="J266" s="10">
        <v>4</v>
      </c>
      <c r="K266" s="10">
        <v>0</v>
      </c>
      <c r="L266" s="10">
        <v>12.12</v>
      </c>
    </row>
    <row r="267" spans="1:12" x14ac:dyDescent="0.35">
      <c r="A267" s="6">
        <f t="shared" si="4"/>
        <v>266</v>
      </c>
      <c r="B267" s="7" t="s">
        <v>266</v>
      </c>
      <c r="C267" s="8" t="s">
        <v>571</v>
      </c>
      <c r="D267" s="7" t="s">
        <v>473</v>
      </c>
      <c r="E267" s="7" t="s">
        <v>504</v>
      </c>
      <c r="F267" s="7" t="s">
        <v>540</v>
      </c>
      <c r="G267" s="7" t="s">
        <v>546</v>
      </c>
      <c r="H267" s="7" t="s">
        <v>559</v>
      </c>
      <c r="I267" s="2">
        <v>374.37600000000003</v>
      </c>
      <c r="J267" s="7">
        <v>1</v>
      </c>
      <c r="K267" s="7">
        <v>0</v>
      </c>
      <c r="L267" s="7">
        <v>11.34</v>
      </c>
    </row>
    <row r="268" spans="1:12" x14ac:dyDescent="0.35">
      <c r="A268" s="9">
        <f t="shared" si="4"/>
        <v>267</v>
      </c>
      <c r="B268" s="10" t="s">
        <v>267</v>
      </c>
      <c r="C268" s="11" t="s">
        <v>578</v>
      </c>
      <c r="D268" s="10" t="s">
        <v>474</v>
      </c>
      <c r="E268" s="10" t="s">
        <v>506</v>
      </c>
      <c r="F268" s="10" t="s">
        <v>539</v>
      </c>
      <c r="G268" s="10" t="s">
        <v>545</v>
      </c>
      <c r="H268" s="10" t="s">
        <v>554</v>
      </c>
      <c r="I268" s="1">
        <v>91.84</v>
      </c>
      <c r="J268" s="10">
        <v>4</v>
      </c>
      <c r="K268" s="10">
        <v>0</v>
      </c>
      <c r="L268" s="10">
        <v>159.80000000000001</v>
      </c>
    </row>
    <row r="269" spans="1:12" x14ac:dyDescent="0.35">
      <c r="A269" s="6">
        <f t="shared" si="4"/>
        <v>268</v>
      </c>
      <c r="B269" s="7" t="s">
        <v>268</v>
      </c>
      <c r="C269" s="8" t="s">
        <v>573</v>
      </c>
      <c r="D269" s="7" t="s">
        <v>475</v>
      </c>
      <c r="E269" s="7" t="s">
        <v>533</v>
      </c>
      <c r="F269" s="7" t="s">
        <v>542</v>
      </c>
      <c r="G269" s="7" t="s">
        <v>545</v>
      </c>
      <c r="H269" s="7" t="s">
        <v>561</v>
      </c>
      <c r="I269" s="2">
        <v>81.088000000000008</v>
      </c>
      <c r="J269" s="7">
        <v>2</v>
      </c>
      <c r="K269" s="7">
        <v>0</v>
      </c>
      <c r="L269" s="7">
        <v>18.96</v>
      </c>
    </row>
    <row r="270" spans="1:12" x14ac:dyDescent="0.35">
      <c r="A270" s="9">
        <f t="shared" si="4"/>
        <v>269</v>
      </c>
      <c r="B270" s="10" t="s">
        <v>269</v>
      </c>
      <c r="C270" s="11" t="s">
        <v>572</v>
      </c>
      <c r="D270" s="10" t="s">
        <v>476</v>
      </c>
      <c r="E270" s="10" t="s">
        <v>527</v>
      </c>
      <c r="F270" s="10" t="s">
        <v>542</v>
      </c>
      <c r="G270" s="10" t="s">
        <v>545</v>
      </c>
      <c r="H270" s="10" t="s">
        <v>552</v>
      </c>
      <c r="I270" s="1">
        <v>19.440000000000001</v>
      </c>
      <c r="J270" s="10">
        <v>7</v>
      </c>
      <c r="K270" s="10">
        <v>0</v>
      </c>
      <c r="L270" s="10">
        <v>1085.42</v>
      </c>
    </row>
    <row r="271" spans="1:12" x14ac:dyDescent="0.35">
      <c r="A271" s="6">
        <f t="shared" si="4"/>
        <v>270</v>
      </c>
      <c r="B271" s="7" t="s">
        <v>270</v>
      </c>
      <c r="C271" s="8" t="s">
        <v>571</v>
      </c>
      <c r="D271" s="7" t="s">
        <v>476</v>
      </c>
      <c r="E271" s="7" t="s">
        <v>527</v>
      </c>
      <c r="F271" s="7" t="s">
        <v>542</v>
      </c>
      <c r="G271" s="7" t="s">
        <v>545</v>
      </c>
      <c r="H271" s="7" t="s">
        <v>560</v>
      </c>
      <c r="I271" s="2">
        <v>451.15199999999993</v>
      </c>
      <c r="J271" s="7">
        <v>3</v>
      </c>
      <c r="K271" s="7">
        <v>0</v>
      </c>
      <c r="L271" s="7">
        <v>13.11</v>
      </c>
    </row>
    <row r="272" spans="1:12" x14ac:dyDescent="0.35">
      <c r="A272" s="9">
        <f t="shared" si="4"/>
        <v>271</v>
      </c>
      <c r="B272" s="10" t="s">
        <v>271</v>
      </c>
      <c r="C272" s="11" t="s">
        <v>571</v>
      </c>
      <c r="D272" s="10" t="s">
        <v>410</v>
      </c>
      <c r="E272" s="10" t="s">
        <v>504</v>
      </c>
      <c r="F272" s="10" t="s">
        <v>540</v>
      </c>
      <c r="G272" s="10" t="s">
        <v>545</v>
      </c>
      <c r="H272" s="10" t="s">
        <v>552</v>
      </c>
      <c r="I272" s="1">
        <v>72.45</v>
      </c>
      <c r="J272" s="10">
        <v>2</v>
      </c>
      <c r="K272" s="10">
        <v>0.2</v>
      </c>
      <c r="L272" s="10">
        <v>68.703999999999994</v>
      </c>
    </row>
    <row r="273" spans="1:12" x14ac:dyDescent="0.35">
      <c r="A273" s="6">
        <f t="shared" si="4"/>
        <v>272</v>
      </c>
      <c r="B273" s="7" t="s">
        <v>272</v>
      </c>
      <c r="C273" s="8" t="s">
        <v>572</v>
      </c>
      <c r="D273" s="7" t="s">
        <v>410</v>
      </c>
      <c r="E273" s="7" t="s">
        <v>504</v>
      </c>
      <c r="F273" s="7" t="s">
        <v>540</v>
      </c>
      <c r="G273" s="7" t="s">
        <v>546</v>
      </c>
      <c r="H273" s="7" t="s">
        <v>559</v>
      </c>
      <c r="I273" s="2">
        <v>13.96</v>
      </c>
      <c r="J273" s="7">
        <v>2</v>
      </c>
      <c r="K273" s="7">
        <v>0.7</v>
      </c>
      <c r="L273" s="7">
        <v>3.1320000000000001</v>
      </c>
    </row>
    <row r="274" spans="1:12" x14ac:dyDescent="0.35">
      <c r="A274" s="9">
        <f t="shared" si="4"/>
        <v>273</v>
      </c>
      <c r="B274" s="10" t="s">
        <v>273</v>
      </c>
      <c r="C274" s="11" t="s">
        <v>571</v>
      </c>
      <c r="D274" s="10" t="s">
        <v>410</v>
      </c>
      <c r="E274" s="10" t="s">
        <v>504</v>
      </c>
      <c r="F274" s="10" t="s">
        <v>540</v>
      </c>
      <c r="G274" s="10" t="s">
        <v>544</v>
      </c>
      <c r="H274" s="10" t="s">
        <v>553</v>
      </c>
      <c r="I274" s="1">
        <v>33.264000000000003</v>
      </c>
      <c r="J274" s="10">
        <v>3</v>
      </c>
      <c r="K274" s="10">
        <v>0.7</v>
      </c>
      <c r="L274" s="10">
        <v>22.428000000000004</v>
      </c>
    </row>
    <row r="275" spans="1:12" x14ac:dyDescent="0.35">
      <c r="A275" s="6">
        <f t="shared" si="4"/>
        <v>274</v>
      </c>
      <c r="B275" s="7" t="s">
        <v>274</v>
      </c>
      <c r="C275" s="8" t="s">
        <v>573</v>
      </c>
      <c r="D275" s="7" t="s">
        <v>410</v>
      </c>
      <c r="E275" s="7" t="s">
        <v>504</v>
      </c>
      <c r="F275" s="7" t="s">
        <v>540</v>
      </c>
      <c r="G275" s="7" t="s">
        <v>545</v>
      </c>
      <c r="H275" s="7" t="s">
        <v>556</v>
      </c>
      <c r="I275" s="2">
        <v>14.850000000000001</v>
      </c>
      <c r="J275" s="7">
        <v>2</v>
      </c>
      <c r="K275" s="7">
        <v>0.2</v>
      </c>
      <c r="L275" s="7">
        <v>290.33600000000001</v>
      </c>
    </row>
    <row r="276" spans="1:12" x14ac:dyDescent="0.35">
      <c r="A276" s="9">
        <f t="shared" si="4"/>
        <v>275</v>
      </c>
      <c r="B276" s="10" t="s">
        <v>275</v>
      </c>
      <c r="C276" s="11" t="s">
        <v>574</v>
      </c>
      <c r="D276" s="10" t="s">
        <v>477</v>
      </c>
      <c r="E276" s="10" t="s">
        <v>504</v>
      </c>
      <c r="F276" s="10" t="s">
        <v>540</v>
      </c>
      <c r="G276" s="10" t="s">
        <v>545</v>
      </c>
      <c r="H276" s="10" t="s">
        <v>558</v>
      </c>
      <c r="I276" s="1">
        <v>8.82</v>
      </c>
      <c r="J276" s="10">
        <v>2</v>
      </c>
      <c r="K276" s="10">
        <v>0.2</v>
      </c>
      <c r="L276" s="10">
        <v>19.152000000000001</v>
      </c>
    </row>
    <row r="277" spans="1:12" x14ac:dyDescent="0.35">
      <c r="A277" s="6">
        <f t="shared" si="4"/>
        <v>276</v>
      </c>
      <c r="B277" s="7" t="s">
        <v>276</v>
      </c>
      <c r="C277" s="8" t="s">
        <v>571</v>
      </c>
      <c r="D277" s="7" t="s">
        <v>477</v>
      </c>
      <c r="E277" s="7" t="s">
        <v>504</v>
      </c>
      <c r="F277" s="7" t="s">
        <v>540</v>
      </c>
      <c r="G277" s="7" t="s">
        <v>545</v>
      </c>
      <c r="H277" s="7" t="s">
        <v>554</v>
      </c>
      <c r="I277" s="2">
        <v>160.72</v>
      </c>
      <c r="J277" s="7">
        <v>1</v>
      </c>
      <c r="K277" s="7">
        <v>0</v>
      </c>
      <c r="L277" s="7">
        <v>6.48</v>
      </c>
    </row>
    <row r="278" spans="1:12" x14ac:dyDescent="0.35">
      <c r="A278" s="9">
        <f t="shared" si="4"/>
        <v>277</v>
      </c>
      <c r="B278" s="10" t="s">
        <v>277</v>
      </c>
      <c r="C278" s="11" t="s">
        <v>575</v>
      </c>
      <c r="D278" s="10" t="s">
        <v>412</v>
      </c>
      <c r="E278" s="10" t="s">
        <v>512</v>
      </c>
      <c r="F278" s="10" t="s">
        <v>542</v>
      </c>
      <c r="G278" s="10" t="s">
        <v>545</v>
      </c>
      <c r="H278" s="10" t="s">
        <v>558</v>
      </c>
      <c r="I278" s="1">
        <v>19.920000000000002</v>
      </c>
      <c r="J278" s="10">
        <v>2</v>
      </c>
      <c r="K278" s="10">
        <v>0.2</v>
      </c>
      <c r="L278" s="10">
        <v>63.967999999999996</v>
      </c>
    </row>
    <row r="279" spans="1:12" x14ac:dyDescent="0.35">
      <c r="A279" s="6">
        <f t="shared" si="4"/>
        <v>278</v>
      </c>
      <c r="B279" s="7" t="s">
        <v>278</v>
      </c>
      <c r="C279" s="8" t="s">
        <v>576</v>
      </c>
      <c r="D279" s="7" t="s">
        <v>412</v>
      </c>
      <c r="E279" s="7" t="s">
        <v>512</v>
      </c>
      <c r="F279" s="7" t="s">
        <v>542</v>
      </c>
      <c r="G279" s="7" t="s">
        <v>545</v>
      </c>
      <c r="H279" s="7" t="s">
        <v>558</v>
      </c>
      <c r="I279" s="2">
        <v>7.3</v>
      </c>
      <c r="J279" s="7">
        <v>2</v>
      </c>
      <c r="K279" s="7">
        <v>0</v>
      </c>
      <c r="L279" s="7">
        <v>6.36</v>
      </c>
    </row>
    <row r="280" spans="1:12" x14ac:dyDescent="0.35">
      <c r="A280" s="9">
        <f t="shared" si="4"/>
        <v>279</v>
      </c>
      <c r="B280" s="10" t="s">
        <v>279</v>
      </c>
      <c r="C280" s="11" t="s">
        <v>577</v>
      </c>
      <c r="D280" s="10" t="s">
        <v>412</v>
      </c>
      <c r="E280" s="10" t="s">
        <v>512</v>
      </c>
      <c r="F280" s="10" t="s">
        <v>542</v>
      </c>
      <c r="G280" s="10" t="s">
        <v>545</v>
      </c>
      <c r="H280" s="10" t="s">
        <v>552</v>
      </c>
      <c r="I280" s="1">
        <v>69.712000000000003</v>
      </c>
      <c r="J280" s="10">
        <v>4</v>
      </c>
      <c r="K280" s="10">
        <v>0.2</v>
      </c>
      <c r="L280" s="10">
        <v>848.5440000000001</v>
      </c>
    </row>
    <row r="281" spans="1:12" x14ac:dyDescent="0.35">
      <c r="A281" s="6">
        <f t="shared" si="4"/>
        <v>280</v>
      </c>
      <c r="B281" s="7" t="s">
        <v>280</v>
      </c>
      <c r="C281" s="8" t="s">
        <v>573</v>
      </c>
      <c r="D281" s="7" t="s">
        <v>412</v>
      </c>
      <c r="E281" s="7" t="s">
        <v>512</v>
      </c>
      <c r="F281" s="7" t="s">
        <v>542</v>
      </c>
      <c r="G281" s="7" t="s">
        <v>545</v>
      </c>
      <c r="H281" s="7" t="s">
        <v>550</v>
      </c>
      <c r="I281" s="2">
        <v>8.7919999999999998</v>
      </c>
      <c r="J281" s="7">
        <v>5</v>
      </c>
      <c r="K281" s="7">
        <v>0.7</v>
      </c>
      <c r="L281" s="7">
        <v>8.7000000000000011</v>
      </c>
    </row>
    <row r="282" spans="1:12" x14ac:dyDescent="0.35">
      <c r="A282" s="9">
        <f t="shared" si="4"/>
        <v>281</v>
      </c>
      <c r="B282" s="10" t="s">
        <v>281</v>
      </c>
      <c r="C282" s="11" t="s">
        <v>571</v>
      </c>
      <c r="D282" s="10" t="s">
        <v>414</v>
      </c>
      <c r="E282" s="10" t="s">
        <v>508</v>
      </c>
      <c r="F282" s="10" t="s">
        <v>541</v>
      </c>
      <c r="G282" s="10" t="s">
        <v>545</v>
      </c>
      <c r="H282" s="10" t="s">
        <v>556</v>
      </c>
      <c r="I282" s="1">
        <v>51.52</v>
      </c>
      <c r="J282" s="10">
        <v>3</v>
      </c>
      <c r="K282" s="10">
        <v>0.4</v>
      </c>
      <c r="L282" s="10">
        <v>122.38199999999999</v>
      </c>
    </row>
    <row r="283" spans="1:12" x14ac:dyDescent="0.35">
      <c r="A283" s="6">
        <f t="shared" si="4"/>
        <v>282</v>
      </c>
      <c r="B283" s="7" t="s">
        <v>282</v>
      </c>
      <c r="C283" s="8" t="s">
        <v>578</v>
      </c>
      <c r="D283" s="7" t="s">
        <v>414</v>
      </c>
      <c r="E283" s="7" t="s">
        <v>508</v>
      </c>
      <c r="F283" s="7" t="s">
        <v>541</v>
      </c>
      <c r="G283" s="7" t="s">
        <v>546</v>
      </c>
      <c r="H283" s="7" t="s">
        <v>555</v>
      </c>
      <c r="I283" s="2">
        <v>470.37600000000009</v>
      </c>
      <c r="J283" s="7">
        <v>7</v>
      </c>
      <c r="K283" s="7">
        <v>0.1</v>
      </c>
      <c r="L283" s="7">
        <v>573.17399999999998</v>
      </c>
    </row>
    <row r="284" spans="1:12" x14ac:dyDescent="0.35">
      <c r="A284" s="9">
        <f t="shared" si="4"/>
        <v>283</v>
      </c>
      <c r="B284" s="10" t="s">
        <v>283</v>
      </c>
      <c r="C284" s="11" t="s">
        <v>573</v>
      </c>
      <c r="D284" s="10" t="s">
        <v>403</v>
      </c>
      <c r="E284" s="10" t="s">
        <v>504</v>
      </c>
      <c r="F284" s="10" t="s">
        <v>540</v>
      </c>
      <c r="G284" s="10" t="s">
        <v>544</v>
      </c>
      <c r="H284" s="10" t="s">
        <v>551</v>
      </c>
      <c r="I284" s="1">
        <v>105.584</v>
      </c>
      <c r="J284" s="10">
        <v>3</v>
      </c>
      <c r="K284" s="10">
        <v>0.2</v>
      </c>
      <c r="L284" s="10">
        <v>85.055999999999997</v>
      </c>
    </row>
    <row r="285" spans="1:12" x14ac:dyDescent="0.35">
      <c r="A285" s="6">
        <f t="shared" si="4"/>
        <v>284</v>
      </c>
      <c r="B285" s="7" t="s">
        <v>284</v>
      </c>
      <c r="C285" s="8" t="s">
        <v>572</v>
      </c>
      <c r="D285" s="7" t="s">
        <v>434</v>
      </c>
      <c r="E285" s="7" t="s">
        <v>524</v>
      </c>
      <c r="F285" s="7" t="s">
        <v>540</v>
      </c>
      <c r="G285" s="7" t="s">
        <v>545</v>
      </c>
      <c r="H285" s="7" t="s">
        <v>558</v>
      </c>
      <c r="I285" s="2">
        <v>31.152000000000001</v>
      </c>
      <c r="J285" s="7">
        <v>3</v>
      </c>
      <c r="K285" s="7">
        <v>0</v>
      </c>
      <c r="L285" s="7">
        <v>14.04</v>
      </c>
    </row>
    <row r="286" spans="1:12" x14ac:dyDescent="0.35">
      <c r="A286" s="9">
        <f t="shared" si="4"/>
        <v>285</v>
      </c>
      <c r="B286" s="10" t="s">
        <v>285</v>
      </c>
      <c r="C286" s="11" t="s">
        <v>571</v>
      </c>
      <c r="D286" s="10" t="s">
        <v>434</v>
      </c>
      <c r="E286" s="10" t="s">
        <v>524</v>
      </c>
      <c r="F286" s="10" t="s">
        <v>540</v>
      </c>
      <c r="G286" s="10" t="s">
        <v>546</v>
      </c>
      <c r="H286" s="10" t="s">
        <v>559</v>
      </c>
      <c r="I286" s="1">
        <v>6.7830000000000004</v>
      </c>
      <c r="J286" s="10">
        <v>13</v>
      </c>
      <c r="K286" s="10">
        <v>0</v>
      </c>
      <c r="L286" s="10">
        <v>272.61</v>
      </c>
    </row>
    <row r="287" spans="1:12" x14ac:dyDescent="0.35">
      <c r="A287" s="6">
        <f t="shared" si="4"/>
        <v>286</v>
      </c>
      <c r="B287" s="7" t="s">
        <v>286</v>
      </c>
      <c r="C287" s="8" t="s">
        <v>571</v>
      </c>
      <c r="D287" s="7" t="s">
        <v>434</v>
      </c>
      <c r="E287" s="7" t="s">
        <v>524</v>
      </c>
      <c r="F287" s="7" t="s">
        <v>540</v>
      </c>
      <c r="G287" s="7" t="s">
        <v>545</v>
      </c>
      <c r="H287" s="7" t="s">
        <v>558</v>
      </c>
      <c r="I287" s="2">
        <v>406.36799999999999</v>
      </c>
      <c r="J287" s="7">
        <v>2</v>
      </c>
      <c r="K287" s="7">
        <v>0</v>
      </c>
      <c r="L287" s="7">
        <v>11.16</v>
      </c>
    </row>
    <row r="288" spans="1:12" x14ac:dyDescent="0.35">
      <c r="A288" s="9">
        <f t="shared" si="4"/>
        <v>287</v>
      </c>
      <c r="B288" s="10" t="s">
        <v>287</v>
      </c>
      <c r="C288" s="11" t="s">
        <v>572</v>
      </c>
      <c r="D288" s="10" t="s">
        <v>478</v>
      </c>
      <c r="E288" s="10" t="s">
        <v>505</v>
      </c>
      <c r="F288" s="10" t="s">
        <v>539</v>
      </c>
      <c r="G288" s="10" t="s">
        <v>545</v>
      </c>
      <c r="H288" s="10" t="s">
        <v>556</v>
      </c>
      <c r="I288" s="1">
        <v>70.98</v>
      </c>
      <c r="J288" s="10">
        <v>3</v>
      </c>
      <c r="K288" s="10">
        <v>0</v>
      </c>
      <c r="L288" s="10">
        <v>62.31</v>
      </c>
    </row>
    <row r="289" spans="1:12" x14ac:dyDescent="0.35">
      <c r="A289" s="6">
        <f t="shared" si="4"/>
        <v>288</v>
      </c>
      <c r="B289" s="7" t="s">
        <v>288</v>
      </c>
      <c r="C289" s="8" t="s">
        <v>571</v>
      </c>
      <c r="D289" s="7" t="s">
        <v>478</v>
      </c>
      <c r="E289" s="7" t="s">
        <v>505</v>
      </c>
      <c r="F289" s="7" t="s">
        <v>539</v>
      </c>
      <c r="G289" s="7" t="s">
        <v>545</v>
      </c>
      <c r="H289" s="7" t="s">
        <v>557</v>
      </c>
      <c r="I289" s="2">
        <v>294.93</v>
      </c>
      <c r="J289" s="7">
        <v>2</v>
      </c>
      <c r="K289" s="7">
        <v>0</v>
      </c>
      <c r="L289" s="7">
        <v>159.97999999999999</v>
      </c>
    </row>
    <row r="290" spans="1:12" x14ac:dyDescent="0.35">
      <c r="A290" s="9">
        <f t="shared" si="4"/>
        <v>289</v>
      </c>
      <c r="B290" s="10" t="s">
        <v>289</v>
      </c>
      <c r="C290" s="11" t="s">
        <v>573</v>
      </c>
      <c r="D290" s="10" t="s">
        <v>478</v>
      </c>
      <c r="E290" s="10" t="s">
        <v>505</v>
      </c>
      <c r="F290" s="10" t="s">
        <v>539</v>
      </c>
      <c r="G290" s="10" t="s">
        <v>545</v>
      </c>
      <c r="H290" s="10" t="s">
        <v>562</v>
      </c>
      <c r="I290" s="1">
        <v>84.784000000000006</v>
      </c>
      <c r="J290" s="10">
        <v>3</v>
      </c>
      <c r="K290" s="10">
        <v>0</v>
      </c>
      <c r="L290" s="10">
        <v>5.9399999999999995</v>
      </c>
    </row>
    <row r="291" spans="1:12" x14ac:dyDescent="0.35">
      <c r="A291" s="6">
        <f t="shared" si="4"/>
        <v>290</v>
      </c>
      <c r="B291" s="7" t="s">
        <v>290</v>
      </c>
      <c r="C291" s="8" t="s">
        <v>574</v>
      </c>
      <c r="D291" s="7" t="s">
        <v>440</v>
      </c>
      <c r="E291" s="7" t="s">
        <v>527</v>
      </c>
      <c r="F291" s="7" t="s">
        <v>542</v>
      </c>
      <c r="G291" s="7" t="s">
        <v>545</v>
      </c>
      <c r="H291" s="7" t="s">
        <v>561</v>
      </c>
      <c r="I291" s="2">
        <v>20.736000000000004</v>
      </c>
      <c r="J291" s="7">
        <v>2</v>
      </c>
      <c r="K291" s="7">
        <v>0</v>
      </c>
      <c r="L291" s="7">
        <v>9.9600000000000009</v>
      </c>
    </row>
    <row r="292" spans="1:12" x14ac:dyDescent="0.35">
      <c r="A292" s="9">
        <f t="shared" si="4"/>
        <v>291</v>
      </c>
      <c r="B292" s="10" t="s">
        <v>291</v>
      </c>
      <c r="C292" s="11" t="s">
        <v>571</v>
      </c>
      <c r="D292" s="10" t="s">
        <v>440</v>
      </c>
      <c r="E292" s="10" t="s">
        <v>527</v>
      </c>
      <c r="F292" s="10" t="s">
        <v>542</v>
      </c>
      <c r="G292" s="10" t="s">
        <v>545</v>
      </c>
      <c r="H292" s="10" t="s">
        <v>550</v>
      </c>
      <c r="I292" s="1">
        <v>16.821000000000005</v>
      </c>
      <c r="J292" s="10">
        <v>1</v>
      </c>
      <c r="K292" s="10">
        <v>0</v>
      </c>
      <c r="L292" s="10">
        <v>79.989999999999995</v>
      </c>
    </row>
    <row r="293" spans="1:12" x14ac:dyDescent="0.35">
      <c r="A293" s="6">
        <f t="shared" si="4"/>
        <v>292</v>
      </c>
      <c r="B293" s="7" t="s">
        <v>292</v>
      </c>
      <c r="C293" s="8" t="s">
        <v>575</v>
      </c>
      <c r="D293" s="7" t="s">
        <v>440</v>
      </c>
      <c r="E293" s="7" t="s">
        <v>527</v>
      </c>
      <c r="F293" s="7" t="s">
        <v>542</v>
      </c>
      <c r="G293" s="7" t="s">
        <v>546</v>
      </c>
      <c r="H293" s="7" t="s">
        <v>559</v>
      </c>
      <c r="I293" s="2">
        <v>10.368000000000002</v>
      </c>
      <c r="J293" s="7">
        <v>3</v>
      </c>
      <c r="K293" s="7">
        <v>0</v>
      </c>
      <c r="L293" s="7">
        <v>8.94</v>
      </c>
    </row>
    <row r="294" spans="1:12" x14ac:dyDescent="0.35">
      <c r="A294" s="9">
        <f t="shared" si="4"/>
        <v>293</v>
      </c>
      <c r="B294" s="10" t="s">
        <v>293</v>
      </c>
      <c r="C294" s="11" t="s">
        <v>576</v>
      </c>
      <c r="D294" s="10" t="s">
        <v>440</v>
      </c>
      <c r="E294" s="10" t="s">
        <v>527</v>
      </c>
      <c r="F294" s="10" t="s">
        <v>542</v>
      </c>
      <c r="G294" s="10" t="s">
        <v>544</v>
      </c>
      <c r="H294" s="10" t="s">
        <v>548</v>
      </c>
      <c r="I294" s="1">
        <v>9.3439999999999994</v>
      </c>
      <c r="J294" s="10">
        <v>2</v>
      </c>
      <c r="K294" s="10">
        <v>0</v>
      </c>
      <c r="L294" s="10">
        <v>20.62</v>
      </c>
    </row>
    <row r="295" spans="1:12" x14ac:dyDescent="0.35">
      <c r="A295" s="6">
        <f t="shared" si="4"/>
        <v>294</v>
      </c>
      <c r="B295" s="7" t="s">
        <v>294</v>
      </c>
      <c r="C295" s="8" t="s">
        <v>577</v>
      </c>
      <c r="D295" s="7" t="s">
        <v>479</v>
      </c>
      <c r="E295" s="7" t="s">
        <v>525</v>
      </c>
      <c r="F295" s="7" t="s">
        <v>540</v>
      </c>
      <c r="G295" s="7" t="s">
        <v>544</v>
      </c>
      <c r="H295" s="7" t="s">
        <v>553</v>
      </c>
      <c r="I295" s="2">
        <v>31.200000000000003</v>
      </c>
      <c r="J295" s="7">
        <v>7</v>
      </c>
      <c r="K295" s="7">
        <v>0</v>
      </c>
      <c r="L295" s="7">
        <v>124.25</v>
      </c>
    </row>
    <row r="296" spans="1:12" x14ac:dyDescent="0.35">
      <c r="A296" s="9">
        <f t="shared" si="4"/>
        <v>295</v>
      </c>
      <c r="B296" s="10" t="s">
        <v>295</v>
      </c>
      <c r="C296" s="11" t="s">
        <v>573</v>
      </c>
      <c r="D296" s="10" t="s">
        <v>479</v>
      </c>
      <c r="E296" s="10" t="s">
        <v>525</v>
      </c>
      <c r="F296" s="10" t="s">
        <v>540</v>
      </c>
      <c r="G296" s="10" t="s">
        <v>544</v>
      </c>
      <c r="H296" s="10" t="s">
        <v>549</v>
      </c>
      <c r="I296" s="1">
        <v>76.12</v>
      </c>
      <c r="J296" s="10">
        <v>5</v>
      </c>
      <c r="K296" s="10">
        <v>0</v>
      </c>
      <c r="L296" s="10">
        <v>297.55</v>
      </c>
    </row>
    <row r="297" spans="1:12" x14ac:dyDescent="0.35">
      <c r="A297" s="6">
        <f t="shared" si="4"/>
        <v>296</v>
      </c>
      <c r="B297" s="7" t="s">
        <v>296</v>
      </c>
      <c r="C297" s="8" t="s">
        <v>571</v>
      </c>
      <c r="D297" s="7" t="s">
        <v>479</v>
      </c>
      <c r="E297" s="7" t="s">
        <v>525</v>
      </c>
      <c r="F297" s="7" t="s">
        <v>540</v>
      </c>
      <c r="G297" s="7" t="s">
        <v>544</v>
      </c>
      <c r="H297" s="7" t="s">
        <v>553</v>
      </c>
      <c r="I297" s="2">
        <v>1199.9760000000001</v>
      </c>
      <c r="J297" s="7">
        <v>4</v>
      </c>
      <c r="K297" s="7">
        <v>0</v>
      </c>
      <c r="L297" s="7">
        <v>403.56</v>
      </c>
    </row>
    <row r="298" spans="1:12" x14ac:dyDescent="0.35">
      <c r="A298" s="9">
        <f t="shared" si="4"/>
        <v>297</v>
      </c>
      <c r="B298" s="10" t="s">
        <v>297</v>
      </c>
      <c r="C298" s="11" t="s">
        <v>578</v>
      </c>
      <c r="D298" s="10" t="s">
        <v>479</v>
      </c>
      <c r="E298" s="10" t="s">
        <v>525</v>
      </c>
      <c r="F298" s="10" t="s">
        <v>540</v>
      </c>
      <c r="G298" s="10" t="s">
        <v>545</v>
      </c>
      <c r="H298" s="10" t="s">
        <v>556</v>
      </c>
      <c r="I298" s="1">
        <v>445.96000000000004</v>
      </c>
      <c r="J298" s="10">
        <v>5</v>
      </c>
      <c r="K298" s="10">
        <v>0</v>
      </c>
      <c r="L298" s="10">
        <v>95.199999999999989</v>
      </c>
    </row>
    <row r="299" spans="1:12" x14ac:dyDescent="0.35">
      <c r="A299" s="6">
        <f t="shared" si="4"/>
        <v>298</v>
      </c>
      <c r="B299" s="7" t="s">
        <v>298</v>
      </c>
      <c r="C299" s="8" t="s">
        <v>573</v>
      </c>
      <c r="D299" s="7" t="s">
        <v>479</v>
      </c>
      <c r="E299" s="7" t="s">
        <v>525</v>
      </c>
      <c r="F299" s="7" t="s">
        <v>540</v>
      </c>
      <c r="G299" s="7" t="s">
        <v>545</v>
      </c>
      <c r="H299" s="7" t="s">
        <v>561</v>
      </c>
      <c r="I299" s="2">
        <v>327.76</v>
      </c>
      <c r="J299" s="7">
        <v>11</v>
      </c>
      <c r="K299" s="7">
        <v>0.2</v>
      </c>
      <c r="L299" s="7">
        <v>153.82400000000001</v>
      </c>
    </row>
    <row r="300" spans="1:12" x14ac:dyDescent="0.35">
      <c r="A300" s="9">
        <f t="shared" si="4"/>
        <v>299</v>
      </c>
      <c r="B300" s="10" t="s">
        <v>299</v>
      </c>
      <c r="C300" s="11" t="s">
        <v>572</v>
      </c>
      <c r="D300" s="10" t="s">
        <v>480</v>
      </c>
      <c r="E300" s="10" t="s">
        <v>533</v>
      </c>
      <c r="F300" s="10" t="s">
        <v>542</v>
      </c>
      <c r="G300" s="10" t="s">
        <v>545</v>
      </c>
      <c r="H300" s="10" t="s">
        <v>558</v>
      </c>
      <c r="I300" s="1">
        <v>11.632</v>
      </c>
      <c r="J300" s="10">
        <v>2</v>
      </c>
      <c r="K300" s="10">
        <v>0.2</v>
      </c>
      <c r="L300" s="10">
        <v>62.015999999999998</v>
      </c>
    </row>
    <row r="301" spans="1:12" x14ac:dyDescent="0.35">
      <c r="A301" s="6">
        <f t="shared" si="4"/>
        <v>300</v>
      </c>
      <c r="B301" s="7" t="s">
        <v>300</v>
      </c>
      <c r="C301" s="8" t="s">
        <v>571</v>
      </c>
      <c r="D301" s="7" t="s">
        <v>480</v>
      </c>
      <c r="E301" s="7" t="s">
        <v>533</v>
      </c>
      <c r="F301" s="7" t="s">
        <v>542</v>
      </c>
      <c r="G301" s="7" t="s">
        <v>545</v>
      </c>
      <c r="H301" s="7" t="s">
        <v>552</v>
      </c>
      <c r="I301" s="2">
        <v>143.98199999999997</v>
      </c>
      <c r="J301" s="7">
        <v>3</v>
      </c>
      <c r="K301" s="7">
        <v>0.2</v>
      </c>
      <c r="L301" s="7">
        <v>466.32000000000005</v>
      </c>
    </row>
    <row r="302" spans="1:12" x14ac:dyDescent="0.35">
      <c r="A302" s="9">
        <f t="shared" si="4"/>
        <v>301</v>
      </c>
      <c r="B302" s="10" t="s">
        <v>301</v>
      </c>
      <c r="C302" s="11" t="s">
        <v>571</v>
      </c>
      <c r="D302" s="10" t="s">
        <v>480</v>
      </c>
      <c r="E302" s="10" t="s">
        <v>533</v>
      </c>
      <c r="F302" s="10" t="s">
        <v>542</v>
      </c>
      <c r="G302" s="10" t="s">
        <v>545</v>
      </c>
      <c r="H302" s="10" t="s">
        <v>558</v>
      </c>
      <c r="I302" s="1">
        <v>494.37599999999998</v>
      </c>
      <c r="J302" s="10">
        <v>2</v>
      </c>
      <c r="K302" s="10">
        <v>0.2</v>
      </c>
      <c r="L302" s="10">
        <v>82.64</v>
      </c>
    </row>
    <row r="303" spans="1:12" x14ac:dyDescent="0.35">
      <c r="A303" s="6">
        <f t="shared" si="4"/>
        <v>302</v>
      </c>
      <c r="B303" s="7" t="s">
        <v>302</v>
      </c>
      <c r="C303" s="8" t="s">
        <v>572</v>
      </c>
      <c r="D303" s="7" t="s">
        <v>480</v>
      </c>
      <c r="E303" s="7" t="s">
        <v>533</v>
      </c>
      <c r="F303" s="7" t="s">
        <v>542</v>
      </c>
      <c r="G303" s="7" t="s">
        <v>544</v>
      </c>
      <c r="H303" s="7" t="s">
        <v>553</v>
      </c>
      <c r="I303" s="2">
        <v>5.84</v>
      </c>
      <c r="J303" s="7">
        <v>1</v>
      </c>
      <c r="K303" s="7">
        <v>0.4</v>
      </c>
      <c r="L303" s="7">
        <v>330.58800000000002</v>
      </c>
    </row>
    <row r="304" spans="1:12" x14ac:dyDescent="0.35">
      <c r="A304" s="9">
        <f t="shared" si="4"/>
        <v>303</v>
      </c>
      <c r="B304" s="10" t="s">
        <v>303</v>
      </c>
      <c r="C304" s="11" t="s">
        <v>571</v>
      </c>
      <c r="D304" s="10" t="s">
        <v>480</v>
      </c>
      <c r="E304" s="10" t="s">
        <v>533</v>
      </c>
      <c r="F304" s="10" t="s">
        <v>542</v>
      </c>
      <c r="G304" s="10" t="s">
        <v>545</v>
      </c>
      <c r="H304" s="10" t="s">
        <v>556</v>
      </c>
      <c r="I304" s="1">
        <v>142.77600000000001</v>
      </c>
      <c r="J304" s="10">
        <v>3</v>
      </c>
      <c r="K304" s="10">
        <v>0.2</v>
      </c>
      <c r="L304" s="10">
        <v>237.09600000000003</v>
      </c>
    </row>
    <row r="305" spans="1:12" x14ac:dyDescent="0.35">
      <c r="A305" s="6">
        <f t="shared" si="4"/>
        <v>304</v>
      </c>
      <c r="B305" s="7" t="s">
        <v>304</v>
      </c>
      <c r="C305" s="8" t="s">
        <v>573</v>
      </c>
      <c r="D305" s="7" t="s">
        <v>424</v>
      </c>
      <c r="E305" s="7" t="s">
        <v>513</v>
      </c>
      <c r="F305" s="7" t="s">
        <v>541</v>
      </c>
      <c r="G305" s="7" t="s">
        <v>544</v>
      </c>
      <c r="H305" s="7" t="s">
        <v>551</v>
      </c>
      <c r="I305" s="2">
        <v>45.695999999999998</v>
      </c>
      <c r="J305" s="7">
        <v>3</v>
      </c>
      <c r="K305" s="7">
        <v>0.2</v>
      </c>
      <c r="L305" s="7">
        <v>22.752000000000002</v>
      </c>
    </row>
    <row r="306" spans="1:12" x14ac:dyDescent="0.35">
      <c r="A306" s="9">
        <f t="shared" si="4"/>
        <v>305</v>
      </c>
      <c r="B306" s="10" t="s">
        <v>305</v>
      </c>
      <c r="C306" s="11" t="s">
        <v>574</v>
      </c>
      <c r="D306" s="10" t="s">
        <v>422</v>
      </c>
      <c r="E306" s="10" t="s">
        <v>518</v>
      </c>
      <c r="F306" s="10" t="s">
        <v>542</v>
      </c>
      <c r="G306" s="10" t="s">
        <v>544</v>
      </c>
      <c r="H306" s="10" t="s">
        <v>553</v>
      </c>
      <c r="I306" s="1">
        <v>7.218</v>
      </c>
      <c r="J306" s="10">
        <v>1</v>
      </c>
      <c r="K306" s="10">
        <v>0.2</v>
      </c>
      <c r="L306" s="10">
        <v>6.6720000000000006</v>
      </c>
    </row>
    <row r="307" spans="1:12" x14ac:dyDescent="0.35">
      <c r="A307" s="6">
        <f t="shared" si="4"/>
        <v>306</v>
      </c>
      <c r="B307" s="7" t="s">
        <v>306</v>
      </c>
      <c r="C307" s="8" t="s">
        <v>571</v>
      </c>
      <c r="D307" s="7" t="s">
        <v>481</v>
      </c>
      <c r="E307" s="7" t="s">
        <v>515</v>
      </c>
      <c r="F307" s="7" t="s">
        <v>541</v>
      </c>
      <c r="G307" s="7" t="s">
        <v>545</v>
      </c>
      <c r="H307" s="7" t="s">
        <v>554</v>
      </c>
      <c r="I307" s="2">
        <v>43.188000000000009</v>
      </c>
      <c r="J307" s="7">
        <v>3</v>
      </c>
      <c r="K307" s="7">
        <v>0.6</v>
      </c>
      <c r="L307" s="7">
        <v>25.128000000000004</v>
      </c>
    </row>
    <row r="308" spans="1:12" x14ac:dyDescent="0.35">
      <c r="A308" s="9">
        <f t="shared" si="4"/>
        <v>307</v>
      </c>
      <c r="B308" s="10" t="s">
        <v>307</v>
      </c>
      <c r="C308" s="11" t="s">
        <v>575</v>
      </c>
      <c r="D308" s="10" t="s">
        <v>482</v>
      </c>
      <c r="E308" s="10" t="s">
        <v>533</v>
      </c>
      <c r="F308" s="10" t="s">
        <v>542</v>
      </c>
      <c r="G308" s="10" t="s">
        <v>545</v>
      </c>
      <c r="H308" s="10" t="s">
        <v>556</v>
      </c>
      <c r="I308" s="1">
        <v>131.904</v>
      </c>
      <c r="J308" s="10">
        <v>2</v>
      </c>
      <c r="K308" s="10">
        <v>0.2</v>
      </c>
      <c r="L308" s="10">
        <v>127.98399999999999</v>
      </c>
    </row>
    <row r="309" spans="1:12" x14ac:dyDescent="0.35">
      <c r="A309" s="6">
        <f t="shared" si="4"/>
        <v>308</v>
      </c>
      <c r="B309" s="7" t="s">
        <v>308</v>
      </c>
      <c r="C309" s="8" t="s">
        <v>576</v>
      </c>
      <c r="D309" s="7" t="s">
        <v>482</v>
      </c>
      <c r="E309" s="7" t="s">
        <v>533</v>
      </c>
      <c r="F309" s="7" t="s">
        <v>542</v>
      </c>
      <c r="G309" s="7" t="s">
        <v>545</v>
      </c>
      <c r="H309" s="7" t="s">
        <v>554</v>
      </c>
      <c r="I309" s="2">
        <v>3.2820000000000005</v>
      </c>
      <c r="J309" s="7">
        <v>7</v>
      </c>
      <c r="K309" s="7">
        <v>0</v>
      </c>
      <c r="L309" s="7">
        <v>131.88</v>
      </c>
    </row>
    <row r="310" spans="1:12" x14ac:dyDescent="0.35">
      <c r="A310" s="9">
        <f t="shared" si="4"/>
        <v>309</v>
      </c>
      <c r="B310" s="10" t="s">
        <v>309</v>
      </c>
      <c r="C310" s="11" t="s">
        <v>577</v>
      </c>
      <c r="D310" s="10" t="s">
        <v>483</v>
      </c>
      <c r="E310" s="10" t="s">
        <v>520</v>
      </c>
      <c r="F310" s="10" t="s">
        <v>539</v>
      </c>
      <c r="G310" s="10" t="s">
        <v>545</v>
      </c>
      <c r="H310" s="10" t="s">
        <v>554</v>
      </c>
      <c r="I310" s="1">
        <v>21.167999999999999</v>
      </c>
      <c r="J310" s="10">
        <v>3</v>
      </c>
      <c r="K310" s="10">
        <v>0.2</v>
      </c>
      <c r="L310" s="10">
        <v>25.031999999999996</v>
      </c>
    </row>
    <row r="311" spans="1:12" x14ac:dyDescent="0.35">
      <c r="A311" s="6">
        <f t="shared" si="4"/>
        <v>310</v>
      </c>
      <c r="B311" s="7" t="s">
        <v>310</v>
      </c>
      <c r="C311" s="8" t="s">
        <v>573</v>
      </c>
      <c r="D311" s="7" t="s">
        <v>484</v>
      </c>
      <c r="E311" s="7" t="s">
        <v>525</v>
      </c>
      <c r="F311" s="7" t="s">
        <v>540</v>
      </c>
      <c r="G311" s="7" t="s">
        <v>544</v>
      </c>
      <c r="H311" s="7" t="s">
        <v>553</v>
      </c>
      <c r="I311" s="2">
        <v>55.188000000000002</v>
      </c>
      <c r="J311" s="7">
        <v>3</v>
      </c>
      <c r="K311" s="7">
        <v>0.2</v>
      </c>
      <c r="L311" s="7">
        <v>717.72</v>
      </c>
    </row>
    <row r="312" spans="1:12" x14ac:dyDescent="0.35">
      <c r="A312" s="9">
        <f t="shared" si="4"/>
        <v>311</v>
      </c>
      <c r="B312" s="10" t="s">
        <v>311</v>
      </c>
      <c r="C312" s="11" t="s">
        <v>571</v>
      </c>
      <c r="D312" s="10" t="s">
        <v>484</v>
      </c>
      <c r="E312" s="10" t="s">
        <v>525</v>
      </c>
      <c r="F312" s="10" t="s">
        <v>540</v>
      </c>
      <c r="G312" s="10" t="s">
        <v>544</v>
      </c>
      <c r="H312" s="10" t="s">
        <v>549</v>
      </c>
      <c r="I312" s="1">
        <v>369.57600000000002</v>
      </c>
      <c r="J312" s="10">
        <v>5</v>
      </c>
      <c r="K312" s="10">
        <v>0</v>
      </c>
      <c r="L312" s="10">
        <v>207.35</v>
      </c>
    </row>
    <row r="313" spans="1:12" x14ac:dyDescent="0.35">
      <c r="A313" s="6">
        <f t="shared" si="4"/>
        <v>312</v>
      </c>
      <c r="B313" s="7" t="s">
        <v>312</v>
      </c>
      <c r="C313" s="8" t="s">
        <v>578</v>
      </c>
      <c r="D313" s="7" t="s">
        <v>484</v>
      </c>
      <c r="E313" s="7" t="s">
        <v>525</v>
      </c>
      <c r="F313" s="7" t="s">
        <v>540</v>
      </c>
      <c r="G313" s="7" t="s">
        <v>544</v>
      </c>
      <c r="H313" s="7" t="s">
        <v>553</v>
      </c>
      <c r="I313" s="2">
        <v>15.712000000000002</v>
      </c>
      <c r="J313" s="7">
        <v>3</v>
      </c>
      <c r="K313" s="7">
        <v>0</v>
      </c>
      <c r="L313" s="7">
        <v>44.67</v>
      </c>
    </row>
    <row r="314" spans="1:12" x14ac:dyDescent="0.35">
      <c r="A314" s="9">
        <f t="shared" si="4"/>
        <v>313</v>
      </c>
      <c r="B314" s="10" t="s">
        <v>313</v>
      </c>
      <c r="C314" s="11" t="s">
        <v>573</v>
      </c>
      <c r="D314" s="10" t="s">
        <v>484</v>
      </c>
      <c r="E314" s="10" t="s">
        <v>525</v>
      </c>
      <c r="F314" s="10" t="s">
        <v>540</v>
      </c>
      <c r="G314" s="10" t="s">
        <v>545</v>
      </c>
      <c r="H314" s="10" t="s">
        <v>550</v>
      </c>
      <c r="I314" s="1">
        <v>8.4480000000000004</v>
      </c>
      <c r="J314" s="10">
        <v>2</v>
      </c>
      <c r="K314" s="10">
        <v>0</v>
      </c>
      <c r="L314" s="10">
        <v>209.7</v>
      </c>
    </row>
    <row r="315" spans="1:12" x14ac:dyDescent="0.35">
      <c r="A315" s="6">
        <f t="shared" si="4"/>
        <v>314</v>
      </c>
      <c r="B315" s="7" t="s">
        <v>314</v>
      </c>
      <c r="C315" s="8" t="s">
        <v>572</v>
      </c>
      <c r="D315" s="7" t="s">
        <v>485</v>
      </c>
      <c r="E315" s="7" t="s">
        <v>533</v>
      </c>
      <c r="F315" s="7" t="s">
        <v>542</v>
      </c>
      <c r="G315" s="7" t="s">
        <v>544</v>
      </c>
      <c r="H315" s="7" t="s">
        <v>553</v>
      </c>
      <c r="I315" s="2">
        <v>728.94600000000003</v>
      </c>
      <c r="J315" s="7">
        <v>7</v>
      </c>
      <c r="K315" s="7">
        <v>0</v>
      </c>
      <c r="L315" s="7">
        <v>115.36</v>
      </c>
    </row>
    <row r="316" spans="1:12" x14ac:dyDescent="0.35">
      <c r="A316" s="9">
        <f t="shared" si="4"/>
        <v>315</v>
      </c>
      <c r="B316" s="10" t="s">
        <v>315</v>
      </c>
      <c r="C316" s="11" t="s">
        <v>571</v>
      </c>
      <c r="D316" s="10" t="s">
        <v>486</v>
      </c>
      <c r="E316" s="10" t="s">
        <v>505</v>
      </c>
      <c r="F316" s="10" t="s">
        <v>539</v>
      </c>
      <c r="G316" s="10" t="s">
        <v>546</v>
      </c>
      <c r="H316" s="10" t="s">
        <v>555</v>
      </c>
      <c r="I316" s="1">
        <v>119.93999999999998</v>
      </c>
      <c r="J316" s="10">
        <v>3</v>
      </c>
      <c r="K316" s="10">
        <v>0.2</v>
      </c>
      <c r="L316" s="10">
        <v>362.13599999999997</v>
      </c>
    </row>
    <row r="317" spans="1:12" x14ac:dyDescent="0.35">
      <c r="A317" s="6">
        <f t="shared" si="4"/>
        <v>316</v>
      </c>
      <c r="B317" s="7" t="s">
        <v>316</v>
      </c>
      <c r="C317" s="8" t="s">
        <v>571</v>
      </c>
      <c r="D317" s="7" t="s">
        <v>486</v>
      </c>
      <c r="E317" s="7" t="s">
        <v>505</v>
      </c>
      <c r="F317" s="7" t="s">
        <v>539</v>
      </c>
      <c r="G317" s="7" t="s">
        <v>545</v>
      </c>
      <c r="H317" s="7" t="s">
        <v>558</v>
      </c>
      <c r="I317" s="2">
        <v>3.6480000000000006</v>
      </c>
      <c r="J317" s="7">
        <v>3</v>
      </c>
      <c r="K317" s="7">
        <v>0</v>
      </c>
      <c r="L317" s="7">
        <v>31.049999999999997</v>
      </c>
    </row>
    <row r="318" spans="1:12" x14ac:dyDescent="0.35">
      <c r="A318" s="9">
        <f t="shared" si="4"/>
        <v>317</v>
      </c>
      <c r="B318" s="10" t="s">
        <v>317</v>
      </c>
      <c r="C318" s="11" t="s">
        <v>572</v>
      </c>
      <c r="D318" s="10" t="s">
        <v>412</v>
      </c>
      <c r="E318" s="10" t="s">
        <v>512</v>
      </c>
      <c r="F318" s="10" t="s">
        <v>542</v>
      </c>
      <c r="G318" s="10" t="s">
        <v>545</v>
      </c>
      <c r="H318" s="10" t="s">
        <v>554</v>
      </c>
      <c r="I318" s="1">
        <v>40.479999999999997</v>
      </c>
      <c r="J318" s="10">
        <v>2</v>
      </c>
      <c r="K318" s="10">
        <v>0</v>
      </c>
      <c r="L318" s="10">
        <v>12.96</v>
      </c>
    </row>
    <row r="319" spans="1:12" x14ac:dyDescent="0.35">
      <c r="A319" s="6">
        <f t="shared" si="4"/>
        <v>318</v>
      </c>
      <c r="B319" s="7" t="s">
        <v>318</v>
      </c>
      <c r="C319" s="8" t="s">
        <v>571</v>
      </c>
      <c r="D319" s="7" t="s">
        <v>422</v>
      </c>
      <c r="E319" s="7" t="s">
        <v>518</v>
      </c>
      <c r="F319" s="7" t="s">
        <v>542</v>
      </c>
      <c r="G319" s="7" t="s">
        <v>544</v>
      </c>
      <c r="H319" s="7" t="s">
        <v>549</v>
      </c>
      <c r="I319" s="2">
        <v>9.94</v>
      </c>
      <c r="J319" s="7">
        <v>5</v>
      </c>
      <c r="K319" s="7">
        <v>0</v>
      </c>
      <c r="L319" s="7">
        <v>94.85</v>
      </c>
    </row>
    <row r="320" spans="1:12" x14ac:dyDescent="0.35">
      <c r="A320" s="9">
        <f t="shared" si="4"/>
        <v>319</v>
      </c>
      <c r="B320" s="10" t="s">
        <v>319</v>
      </c>
      <c r="C320" s="11" t="s">
        <v>573</v>
      </c>
      <c r="D320" s="10" t="s">
        <v>422</v>
      </c>
      <c r="E320" s="10" t="s">
        <v>518</v>
      </c>
      <c r="F320" s="10" t="s">
        <v>542</v>
      </c>
      <c r="G320" s="10" t="s">
        <v>546</v>
      </c>
      <c r="H320" s="10" t="s">
        <v>563</v>
      </c>
      <c r="I320" s="1">
        <v>107.42400000000001</v>
      </c>
      <c r="J320" s="10">
        <v>1</v>
      </c>
      <c r="K320" s="10">
        <v>0</v>
      </c>
      <c r="L320" s="10">
        <v>13.48</v>
      </c>
    </row>
    <row r="321" spans="1:12" x14ac:dyDescent="0.35">
      <c r="A321" s="6">
        <f t="shared" si="4"/>
        <v>320</v>
      </c>
      <c r="B321" s="7" t="s">
        <v>320</v>
      </c>
      <c r="C321" s="8" t="s">
        <v>574</v>
      </c>
      <c r="D321" s="7" t="s">
        <v>422</v>
      </c>
      <c r="E321" s="7" t="s">
        <v>518</v>
      </c>
      <c r="F321" s="7" t="s">
        <v>542</v>
      </c>
      <c r="G321" s="7" t="s">
        <v>546</v>
      </c>
      <c r="H321" s="7" t="s">
        <v>555</v>
      </c>
      <c r="I321" s="2">
        <v>37.909999999999997</v>
      </c>
      <c r="J321" s="7">
        <v>3</v>
      </c>
      <c r="K321" s="7">
        <v>0</v>
      </c>
      <c r="L321" s="7">
        <v>14.91</v>
      </c>
    </row>
    <row r="322" spans="1:12" x14ac:dyDescent="0.35">
      <c r="A322" s="9">
        <f t="shared" si="4"/>
        <v>321</v>
      </c>
      <c r="B322" s="10" t="s">
        <v>321</v>
      </c>
      <c r="C322" s="11" t="s">
        <v>571</v>
      </c>
      <c r="D322" s="10" t="s">
        <v>422</v>
      </c>
      <c r="E322" s="10" t="s">
        <v>518</v>
      </c>
      <c r="F322" s="10" t="s">
        <v>542</v>
      </c>
      <c r="G322" s="10" t="s">
        <v>546</v>
      </c>
      <c r="H322" s="10" t="s">
        <v>559</v>
      </c>
      <c r="I322" s="1">
        <v>88.02</v>
      </c>
      <c r="J322" s="10">
        <v>1</v>
      </c>
      <c r="K322" s="10">
        <v>0</v>
      </c>
      <c r="L322" s="10">
        <v>39.979999999999997</v>
      </c>
    </row>
    <row r="323" spans="1:12" x14ac:dyDescent="0.35">
      <c r="A323" s="6">
        <f t="shared" ref="A323:A386" si="5">A322+1</f>
        <v>322</v>
      </c>
      <c r="B323" s="7" t="s">
        <v>322</v>
      </c>
      <c r="C323" s="8" t="s">
        <v>575</v>
      </c>
      <c r="D323" s="7" t="s">
        <v>422</v>
      </c>
      <c r="E323" s="7" t="s">
        <v>518</v>
      </c>
      <c r="F323" s="7" t="s">
        <v>542</v>
      </c>
      <c r="G323" s="7" t="s">
        <v>545</v>
      </c>
      <c r="H323" s="7" t="s">
        <v>552</v>
      </c>
      <c r="I323" s="2">
        <v>8.6899999999999977</v>
      </c>
      <c r="J323" s="7">
        <v>5</v>
      </c>
      <c r="K323" s="7">
        <v>0.3</v>
      </c>
      <c r="L323" s="7">
        <v>528.42999999999995</v>
      </c>
    </row>
    <row r="324" spans="1:12" x14ac:dyDescent="0.35">
      <c r="A324" s="9">
        <f t="shared" si="5"/>
        <v>323</v>
      </c>
      <c r="B324" s="10" t="s">
        <v>323</v>
      </c>
      <c r="C324" s="11" t="s">
        <v>576</v>
      </c>
      <c r="D324" s="10" t="s">
        <v>487</v>
      </c>
      <c r="E324" s="10" t="s">
        <v>504</v>
      </c>
      <c r="F324" s="10" t="s">
        <v>540</v>
      </c>
      <c r="G324" s="10" t="s">
        <v>545</v>
      </c>
      <c r="H324" s="10" t="s">
        <v>561</v>
      </c>
      <c r="I324" s="1">
        <v>301.95999999999998</v>
      </c>
      <c r="J324" s="10">
        <v>7</v>
      </c>
      <c r="K324" s="10">
        <v>0.8</v>
      </c>
      <c r="L324" s="10">
        <v>22.385999999999996</v>
      </c>
    </row>
    <row r="325" spans="1:12" x14ac:dyDescent="0.35">
      <c r="A325" s="6">
        <f t="shared" si="5"/>
        <v>324</v>
      </c>
      <c r="B325" s="7" t="s">
        <v>324</v>
      </c>
      <c r="C325" s="8" t="s">
        <v>577</v>
      </c>
      <c r="D325" s="7" t="s">
        <v>488</v>
      </c>
      <c r="E325" s="7" t="s">
        <v>504</v>
      </c>
      <c r="F325" s="7" t="s">
        <v>540</v>
      </c>
      <c r="G325" s="7" t="s">
        <v>545</v>
      </c>
      <c r="H325" s="7" t="s">
        <v>556</v>
      </c>
      <c r="I325" s="2">
        <v>555.21</v>
      </c>
      <c r="J325" s="7">
        <v>3</v>
      </c>
      <c r="K325" s="7">
        <v>0.7</v>
      </c>
      <c r="L325" s="7">
        <v>5.7420000000000009</v>
      </c>
    </row>
    <row r="326" spans="1:12" x14ac:dyDescent="0.35">
      <c r="A326" s="9">
        <f t="shared" si="5"/>
        <v>325</v>
      </c>
      <c r="B326" s="10" t="s">
        <v>325</v>
      </c>
      <c r="C326" s="11" t="s">
        <v>573</v>
      </c>
      <c r="D326" s="10" t="s">
        <v>488</v>
      </c>
      <c r="E326" s="10" t="s">
        <v>504</v>
      </c>
      <c r="F326" s="10" t="s">
        <v>540</v>
      </c>
      <c r="G326" s="10" t="s">
        <v>546</v>
      </c>
      <c r="H326" s="10" t="s">
        <v>559</v>
      </c>
      <c r="I326" s="1">
        <v>523.48</v>
      </c>
      <c r="J326" s="10">
        <v>4</v>
      </c>
      <c r="K326" s="10">
        <v>0.2</v>
      </c>
      <c r="L326" s="10">
        <v>191.96800000000002</v>
      </c>
    </row>
    <row r="327" spans="1:12" x14ac:dyDescent="0.35">
      <c r="A327" s="6">
        <f t="shared" si="5"/>
        <v>326</v>
      </c>
      <c r="B327" s="7" t="s">
        <v>326</v>
      </c>
      <c r="C327" s="8" t="s">
        <v>571</v>
      </c>
      <c r="D327" s="7" t="s">
        <v>489</v>
      </c>
      <c r="E327" s="7" t="s">
        <v>521</v>
      </c>
      <c r="F327" s="7" t="s">
        <v>539</v>
      </c>
      <c r="G327" s="7" t="s">
        <v>544</v>
      </c>
      <c r="H327" s="7" t="s">
        <v>553</v>
      </c>
      <c r="I327" s="2">
        <v>161.82</v>
      </c>
      <c r="J327" s="7">
        <v>3</v>
      </c>
      <c r="K327" s="7">
        <v>0.2</v>
      </c>
      <c r="L327" s="7">
        <v>49.847999999999999</v>
      </c>
    </row>
    <row r="328" spans="1:12" x14ac:dyDescent="0.35">
      <c r="A328" s="9">
        <f t="shared" si="5"/>
        <v>327</v>
      </c>
      <c r="B328" s="10" t="s">
        <v>327</v>
      </c>
      <c r="C328" s="11" t="s">
        <v>578</v>
      </c>
      <c r="D328" s="10" t="s">
        <v>412</v>
      </c>
      <c r="E328" s="10" t="s">
        <v>512</v>
      </c>
      <c r="F328" s="10" t="s">
        <v>542</v>
      </c>
      <c r="G328" s="10" t="s">
        <v>546</v>
      </c>
      <c r="H328" s="10" t="s">
        <v>555</v>
      </c>
      <c r="I328" s="1">
        <v>35.56</v>
      </c>
      <c r="J328" s="10">
        <v>1</v>
      </c>
      <c r="K328" s="10">
        <v>0</v>
      </c>
      <c r="L328" s="10">
        <v>23.99</v>
      </c>
    </row>
    <row r="329" spans="1:12" x14ac:dyDescent="0.35">
      <c r="A329" s="6">
        <f t="shared" si="5"/>
        <v>328</v>
      </c>
      <c r="B329" s="7" t="s">
        <v>328</v>
      </c>
      <c r="C329" s="8" t="s">
        <v>573</v>
      </c>
      <c r="D329" s="7" t="s">
        <v>412</v>
      </c>
      <c r="E329" s="7" t="s">
        <v>512</v>
      </c>
      <c r="F329" s="7" t="s">
        <v>542</v>
      </c>
      <c r="G329" s="7" t="s">
        <v>545</v>
      </c>
      <c r="H329" s="7" t="s">
        <v>552</v>
      </c>
      <c r="I329" s="2">
        <v>97.16</v>
      </c>
      <c r="J329" s="7">
        <v>8</v>
      </c>
      <c r="K329" s="7">
        <v>0.2</v>
      </c>
      <c r="L329" s="7">
        <v>1087.9360000000001</v>
      </c>
    </row>
    <row r="330" spans="1:12" x14ac:dyDescent="0.35">
      <c r="A330" s="9">
        <f t="shared" si="5"/>
        <v>329</v>
      </c>
      <c r="B330" s="10" t="s">
        <v>329</v>
      </c>
      <c r="C330" s="11" t="s">
        <v>572</v>
      </c>
      <c r="D330" s="10" t="s">
        <v>412</v>
      </c>
      <c r="E330" s="10" t="s">
        <v>512</v>
      </c>
      <c r="F330" s="10" t="s">
        <v>542</v>
      </c>
      <c r="G330" s="10" t="s">
        <v>544</v>
      </c>
      <c r="H330" s="10" t="s">
        <v>549</v>
      </c>
      <c r="I330" s="1">
        <v>15.24</v>
      </c>
      <c r="J330" s="10">
        <v>2</v>
      </c>
      <c r="K330" s="10">
        <v>0</v>
      </c>
      <c r="L330" s="10">
        <v>199.98</v>
      </c>
    </row>
    <row r="331" spans="1:12" x14ac:dyDescent="0.35">
      <c r="A331" s="6">
        <f t="shared" si="5"/>
        <v>330</v>
      </c>
      <c r="B331" s="7" t="s">
        <v>330</v>
      </c>
      <c r="C331" s="8" t="s">
        <v>571</v>
      </c>
      <c r="D331" s="7" t="s">
        <v>412</v>
      </c>
      <c r="E331" s="7" t="s">
        <v>512</v>
      </c>
      <c r="F331" s="7" t="s">
        <v>542</v>
      </c>
      <c r="G331" s="7" t="s">
        <v>545</v>
      </c>
      <c r="H331" s="7" t="s">
        <v>550</v>
      </c>
      <c r="I331" s="2">
        <v>13.23</v>
      </c>
      <c r="J331" s="7">
        <v>4</v>
      </c>
      <c r="K331" s="7">
        <v>0</v>
      </c>
      <c r="L331" s="7">
        <v>83.92</v>
      </c>
    </row>
    <row r="332" spans="1:12" x14ac:dyDescent="0.35">
      <c r="A332" s="9">
        <f t="shared" si="5"/>
        <v>331</v>
      </c>
      <c r="B332" s="10" t="s">
        <v>331</v>
      </c>
      <c r="C332" s="11" t="s">
        <v>571</v>
      </c>
      <c r="D332" s="10" t="s">
        <v>412</v>
      </c>
      <c r="E332" s="10" t="s">
        <v>512</v>
      </c>
      <c r="F332" s="10" t="s">
        <v>542</v>
      </c>
      <c r="G332" s="10" t="s">
        <v>545</v>
      </c>
      <c r="H332" s="10" t="s">
        <v>556</v>
      </c>
      <c r="I332" s="1">
        <v>243.38400000000001</v>
      </c>
      <c r="J332" s="10">
        <v>3</v>
      </c>
      <c r="K332" s="10">
        <v>0</v>
      </c>
      <c r="L332" s="10">
        <v>24.27</v>
      </c>
    </row>
    <row r="333" spans="1:12" x14ac:dyDescent="0.35">
      <c r="A333" s="6">
        <f t="shared" si="5"/>
        <v>332</v>
      </c>
      <c r="B333" s="7" t="s">
        <v>332</v>
      </c>
      <c r="C333" s="8" t="s">
        <v>572</v>
      </c>
      <c r="D333" s="7" t="s">
        <v>412</v>
      </c>
      <c r="E333" s="7" t="s">
        <v>512</v>
      </c>
      <c r="F333" s="7" t="s">
        <v>542</v>
      </c>
      <c r="G333" s="7" t="s">
        <v>546</v>
      </c>
      <c r="H333" s="7" t="s">
        <v>555</v>
      </c>
      <c r="I333" s="2">
        <v>119.80000000000001</v>
      </c>
      <c r="J333" s="7">
        <v>5</v>
      </c>
      <c r="K333" s="7">
        <v>0.2</v>
      </c>
      <c r="L333" s="7">
        <v>2799.9600000000005</v>
      </c>
    </row>
    <row r="334" spans="1:12" x14ac:dyDescent="0.35">
      <c r="A334" s="9">
        <f t="shared" si="5"/>
        <v>333</v>
      </c>
      <c r="B334" s="10" t="s">
        <v>333</v>
      </c>
      <c r="C334" s="11" t="s">
        <v>571</v>
      </c>
      <c r="D334" s="10" t="s">
        <v>412</v>
      </c>
      <c r="E334" s="10" t="s">
        <v>512</v>
      </c>
      <c r="F334" s="10" t="s">
        <v>542</v>
      </c>
      <c r="G334" s="10" t="s">
        <v>545</v>
      </c>
      <c r="H334" s="10" t="s">
        <v>556</v>
      </c>
      <c r="I334" s="1">
        <v>300.76799999999997</v>
      </c>
      <c r="J334" s="10">
        <v>2</v>
      </c>
      <c r="K334" s="10">
        <v>0.2</v>
      </c>
      <c r="L334" s="10">
        <v>9.8719999999999999</v>
      </c>
    </row>
    <row r="335" spans="1:12" x14ac:dyDescent="0.35">
      <c r="A335" s="6">
        <f t="shared" si="5"/>
        <v>334</v>
      </c>
      <c r="B335" s="7" t="s">
        <v>334</v>
      </c>
      <c r="C335" s="8" t="s">
        <v>573</v>
      </c>
      <c r="D335" s="7" t="s">
        <v>412</v>
      </c>
      <c r="E335" s="7" t="s">
        <v>512</v>
      </c>
      <c r="F335" s="7" t="s">
        <v>542</v>
      </c>
      <c r="G335" s="7" t="s">
        <v>545</v>
      </c>
      <c r="H335" s="7" t="s">
        <v>556</v>
      </c>
      <c r="I335" s="2">
        <v>17.880000000000003</v>
      </c>
      <c r="J335" s="7">
        <v>4</v>
      </c>
      <c r="K335" s="7">
        <v>0.15</v>
      </c>
      <c r="L335" s="7">
        <v>683.33199999999999</v>
      </c>
    </row>
    <row r="336" spans="1:12" x14ac:dyDescent="0.35">
      <c r="A336" s="9">
        <f t="shared" si="5"/>
        <v>335</v>
      </c>
      <c r="B336" s="10" t="s">
        <v>335</v>
      </c>
      <c r="C336" s="11" t="s">
        <v>574</v>
      </c>
      <c r="D336" s="10" t="s">
        <v>403</v>
      </c>
      <c r="E336" s="10" t="s">
        <v>504</v>
      </c>
      <c r="F336" s="10" t="s">
        <v>540</v>
      </c>
      <c r="G336" s="10" t="s">
        <v>545</v>
      </c>
      <c r="H336" s="10" t="s">
        <v>556</v>
      </c>
      <c r="I336" s="1">
        <v>235.94400000000002</v>
      </c>
      <c r="J336" s="10">
        <v>7</v>
      </c>
      <c r="K336" s="10">
        <v>0</v>
      </c>
      <c r="L336" s="10">
        <v>29.96</v>
      </c>
    </row>
    <row r="337" spans="1:12" x14ac:dyDescent="0.35">
      <c r="A337" s="6">
        <f t="shared" si="5"/>
        <v>336</v>
      </c>
      <c r="B337" s="7" t="s">
        <v>336</v>
      </c>
      <c r="C337" s="8" t="s">
        <v>571</v>
      </c>
      <c r="D337" s="7" t="s">
        <v>403</v>
      </c>
      <c r="E337" s="7" t="s">
        <v>504</v>
      </c>
      <c r="F337" s="7" t="s">
        <v>540</v>
      </c>
      <c r="G337" s="7" t="s">
        <v>546</v>
      </c>
      <c r="H337" s="7" t="s">
        <v>564</v>
      </c>
      <c r="I337" s="2">
        <v>392.93999999999994</v>
      </c>
      <c r="J337" s="7">
        <v>3</v>
      </c>
      <c r="K337" s="7">
        <v>0</v>
      </c>
      <c r="L337" s="7">
        <v>164.85000000000002</v>
      </c>
    </row>
    <row r="338" spans="1:12" x14ac:dyDescent="0.35">
      <c r="A338" s="9">
        <f t="shared" si="5"/>
        <v>337</v>
      </c>
      <c r="B338" s="10" t="s">
        <v>337</v>
      </c>
      <c r="C338" s="11" t="s">
        <v>575</v>
      </c>
      <c r="D338" s="10" t="s">
        <v>403</v>
      </c>
      <c r="E338" s="10" t="s">
        <v>504</v>
      </c>
      <c r="F338" s="10" t="s">
        <v>540</v>
      </c>
      <c r="G338" s="10" t="s">
        <v>545</v>
      </c>
      <c r="H338" s="10" t="s">
        <v>556</v>
      </c>
      <c r="I338" s="1">
        <v>18.882000000000005</v>
      </c>
      <c r="J338" s="10">
        <v>3</v>
      </c>
      <c r="K338" s="10">
        <v>0.2</v>
      </c>
      <c r="L338" s="10">
        <v>33.528000000000006</v>
      </c>
    </row>
    <row r="339" spans="1:12" x14ac:dyDescent="0.35">
      <c r="A339" s="6">
        <f t="shared" si="5"/>
        <v>338</v>
      </c>
      <c r="B339" s="7" t="s">
        <v>338</v>
      </c>
      <c r="C339" s="8" t="s">
        <v>576</v>
      </c>
      <c r="D339" s="7" t="s">
        <v>410</v>
      </c>
      <c r="E339" s="7" t="s">
        <v>504</v>
      </c>
      <c r="F339" s="7" t="s">
        <v>540</v>
      </c>
      <c r="G339" s="7" t="s">
        <v>545</v>
      </c>
      <c r="H339" s="7" t="s">
        <v>556</v>
      </c>
      <c r="I339" s="2">
        <v>122.328</v>
      </c>
      <c r="J339" s="7">
        <v>3</v>
      </c>
      <c r="K339" s="7">
        <v>0.2</v>
      </c>
      <c r="L339" s="7">
        <v>36.744</v>
      </c>
    </row>
    <row r="340" spans="1:12" x14ac:dyDescent="0.35">
      <c r="A340" s="9">
        <f t="shared" si="5"/>
        <v>339</v>
      </c>
      <c r="B340" s="10" t="s">
        <v>339</v>
      </c>
      <c r="C340" s="11" t="s">
        <v>577</v>
      </c>
      <c r="D340" s="10" t="s">
        <v>410</v>
      </c>
      <c r="E340" s="10" t="s">
        <v>504</v>
      </c>
      <c r="F340" s="10" t="s">
        <v>540</v>
      </c>
      <c r="G340" s="10" t="s">
        <v>544</v>
      </c>
      <c r="H340" s="10" t="s">
        <v>551</v>
      </c>
      <c r="I340" s="1">
        <v>1049.2</v>
      </c>
      <c r="J340" s="10">
        <v>3</v>
      </c>
      <c r="K340" s="10">
        <v>0</v>
      </c>
      <c r="L340" s="10">
        <v>102.93</v>
      </c>
    </row>
    <row r="341" spans="1:12" x14ac:dyDescent="0.35">
      <c r="A341" s="6">
        <f t="shared" si="5"/>
        <v>340</v>
      </c>
      <c r="B341" s="7" t="s">
        <v>340</v>
      </c>
      <c r="C341" s="8" t="s">
        <v>573</v>
      </c>
      <c r="D341" s="7" t="s">
        <v>490</v>
      </c>
      <c r="E341" s="7" t="s">
        <v>510</v>
      </c>
      <c r="F341" s="7" t="s">
        <v>540</v>
      </c>
      <c r="G341" s="7" t="s">
        <v>545</v>
      </c>
      <c r="H341" s="7" t="s">
        <v>561</v>
      </c>
      <c r="I341" s="2">
        <v>15.424000000000001</v>
      </c>
      <c r="J341" s="7">
        <v>2</v>
      </c>
      <c r="K341" s="7">
        <v>0.2</v>
      </c>
      <c r="L341" s="7">
        <v>71.088000000000008</v>
      </c>
    </row>
    <row r="342" spans="1:12" x14ac:dyDescent="0.35">
      <c r="A342" s="9">
        <f t="shared" si="5"/>
        <v>341</v>
      </c>
      <c r="B342" s="10" t="s">
        <v>341</v>
      </c>
      <c r="C342" s="11" t="s">
        <v>571</v>
      </c>
      <c r="D342" s="10" t="s">
        <v>412</v>
      </c>
      <c r="E342" s="10" t="s">
        <v>512</v>
      </c>
      <c r="F342" s="10" t="s">
        <v>542</v>
      </c>
      <c r="G342" s="10" t="s">
        <v>545</v>
      </c>
      <c r="H342" s="10" t="s">
        <v>554</v>
      </c>
      <c r="I342" s="1">
        <v>18.84</v>
      </c>
      <c r="J342" s="10">
        <v>5</v>
      </c>
      <c r="K342" s="10">
        <v>0</v>
      </c>
      <c r="L342" s="10">
        <v>60.35</v>
      </c>
    </row>
    <row r="343" spans="1:12" x14ac:dyDescent="0.35">
      <c r="A343" s="6">
        <f t="shared" si="5"/>
        <v>342</v>
      </c>
      <c r="B343" s="7" t="s">
        <v>342</v>
      </c>
      <c r="C343" s="8" t="s">
        <v>578</v>
      </c>
      <c r="D343" s="7" t="s">
        <v>412</v>
      </c>
      <c r="E343" s="7" t="s">
        <v>512</v>
      </c>
      <c r="F343" s="7" t="s">
        <v>542</v>
      </c>
      <c r="G343" s="7" t="s">
        <v>545</v>
      </c>
      <c r="H343" s="7" t="s">
        <v>556</v>
      </c>
      <c r="I343" s="2">
        <v>330.4</v>
      </c>
      <c r="J343" s="7">
        <v>4</v>
      </c>
      <c r="K343" s="7">
        <v>0</v>
      </c>
      <c r="L343" s="7">
        <v>35.520000000000003</v>
      </c>
    </row>
    <row r="344" spans="1:12" x14ac:dyDescent="0.35">
      <c r="A344" s="9">
        <f t="shared" si="5"/>
        <v>343</v>
      </c>
      <c r="B344" s="10" t="s">
        <v>343</v>
      </c>
      <c r="C344" s="11" t="s">
        <v>573</v>
      </c>
      <c r="D344" s="10" t="s">
        <v>412</v>
      </c>
      <c r="E344" s="10" t="s">
        <v>512</v>
      </c>
      <c r="F344" s="10" t="s">
        <v>542</v>
      </c>
      <c r="G344" s="10" t="s">
        <v>545</v>
      </c>
      <c r="H344" s="10" t="s">
        <v>561</v>
      </c>
      <c r="I344" s="1">
        <v>26.25</v>
      </c>
      <c r="J344" s="10">
        <v>7</v>
      </c>
      <c r="K344" s="10">
        <v>0</v>
      </c>
      <c r="L344" s="10">
        <v>11.200000000000001</v>
      </c>
    </row>
    <row r="345" spans="1:12" x14ac:dyDescent="0.35">
      <c r="A345" s="6">
        <f t="shared" si="5"/>
        <v>344</v>
      </c>
      <c r="B345" s="7" t="s">
        <v>344</v>
      </c>
      <c r="C345" s="8" t="s">
        <v>572</v>
      </c>
      <c r="D345" s="7" t="s">
        <v>412</v>
      </c>
      <c r="E345" s="7" t="s">
        <v>512</v>
      </c>
      <c r="F345" s="7" t="s">
        <v>542</v>
      </c>
      <c r="G345" s="7" t="s">
        <v>546</v>
      </c>
      <c r="H345" s="7" t="s">
        <v>555</v>
      </c>
      <c r="I345" s="2">
        <v>132.52000000000001</v>
      </c>
      <c r="J345" s="7">
        <v>14</v>
      </c>
      <c r="K345" s="7">
        <v>0</v>
      </c>
      <c r="L345" s="7">
        <v>223.58</v>
      </c>
    </row>
    <row r="346" spans="1:12" x14ac:dyDescent="0.35">
      <c r="A346" s="9">
        <f t="shared" si="5"/>
        <v>345</v>
      </c>
      <c r="B346" s="10" t="s">
        <v>345</v>
      </c>
      <c r="C346" s="11" t="s">
        <v>571</v>
      </c>
      <c r="D346" s="10" t="s">
        <v>491</v>
      </c>
      <c r="E346" s="10" t="s">
        <v>508</v>
      </c>
      <c r="F346" s="10" t="s">
        <v>541</v>
      </c>
      <c r="G346" s="10" t="s">
        <v>545</v>
      </c>
      <c r="H346" s="10" t="s">
        <v>552</v>
      </c>
      <c r="I346" s="1">
        <v>6.48</v>
      </c>
      <c r="J346" s="10">
        <v>9</v>
      </c>
      <c r="K346" s="10">
        <v>0</v>
      </c>
      <c r="L346" s="10">
        <v>998.82</v>
      </c>
    </row>
    <row r="347" spans="1:12" x14ac:dyDescent="0.35">
      <c r="A347" s="6">
        <f t="shared" si="5"/>
        <v>346</v>
      </c>
      <c r="B347" s="7" t="s">
        <v>346</v>
      </c>
      <c r="C347" s="8" t="s">
        <v>571</v>
      </c>
      <c r="D347" s="7" t="s">
        <v>410</v>
      </c>
      <c r="E347" s="7" t="s">
        <v>504</v>
      </c>
      <c r="F347" s="7" t="s">
        <v>540</v>
      </c>
      <c r="G347" s="7" t="s">
        <v>546</v>
      </c>
      <c r="H347" s="7" t="s">
        <v>555</v>
      </c>
      <c r="I347" s="2">
        <v>209.3</v>
      </c>
      <c r="J347" s="7">
        <v>5</v>
      </c>
      <c r="K347" s="7">
        <v>0</v>
      </c>
      <c r="L347" s="7">
        <v>51.150000000000006</v>
      </c>
    </row>
    <row r="348" spans="1:12" x14ac:dyDescent="0.35">
      <c r="A348" s="9">
        <f t="shared" si="5"/>
        <v>347</v>
      </c>
      <c r="B348" s="10" t="s">
        <v>347</v>
      </c>
      <c r="C348" s="11" t="s">
        <v>572</v>
      </c>
      <c r="D348" s="10" t="s">
        <v>492</v>
      </c>
      <c r="E348" s="10" t="s">
        <v>534</v>
      </c>
      <c r="F348" s="10" t="s">
        <v>542</v>
      </c>
      <c r="G348" s="10" t="s">
        <v>545</v>
      </c>
      <c r="H348" s="10" t="s">
        <v>554</v>
      </c>
      <c r="I348" s="1">
        <v>31.560000000000002</v>
      </c>
      <c r="J348" s="10">
        <v>3</v>
      </c>
      <c r="K348" s="10">
        <v>0</v>
      </c>
      <c r="L348" s="10">
        <v>40.74</v>
      </c>
    </row>
    <row r="349" spans="1:12" x14ac:dyDescent="0.35">
      <c r="A349" s="6">
        <f t="shared" si="5"/>
        <v>348</v>
      </c>
      <c r="B349" s="7" t="s">
        <v>348</v>
      </c>
      <c r="C349" s="8" t="s">
        <v>571</v>
      </c>
      <c r="D349" s="7" t="s">
        <v>492</v>
      </c>
      <c r="E349" s="7" t="s">
        <v>534</v>
      </c>
      <c r="F349" s="7" t="s">
        <v>542</v>
      </c>
      <c r="G349" s="7" t="s">
        <v>545</v>
      </c>
      <c r="H349" s="7" t="s">
        <v>558</v>
      </c>
      <c r="I349" s="2">
        <v>30.144000000000002</v>
      </c>
      <c r="J349" s="7">
        <v>1</v>
      </c>
      <c r="K349" s="7">
        <v>0.2</v>
      </c>
      <c r="L349" s="7">
        <v>3.4240000000000004</v>
      </c>
    </row>
    <row r="350" spans="1:12" x14ac:dyDescent="0.35">
      <c r="A350" s="9">
        <f t="shared" si="5"/>
        <v>349</v>
      </c>
      <c r="B350" s="10" t="s">
        <v>349</v>
      </c>
      <c r="C350" s="11" t="s">
        <v>573</v>
      </c>
      <c r="D350" s="10" t="s">
        <v>492</v>
      </c>
      <c r="E350" s="10" t="s">
        <v>534</v>
      </c>
      <c r="F350" s="10" t="s">
        <v>542</v>
      </c>
      <c r="G350" s="10" t="s">
        <v>545</v>
      </c>
      <c r="H350" s="10" t="s">
        <v>554</v>
      </c>
      <c r="I350" s="1">
        <v>14.8</v>
      </c>
      <c r="J350" s="10">
        <v>3</v>
      </c>
      <c r="K350" s="10">
        <v>0.2</v>
      </c>
      <c r="L350" s="10">
        <v>151.20000000000002</v>
      </c>
    </row>
    <row r="351" spans="1:12" x14ac:dyDescent="0.35">
      <c r="A351" s="6">
        <f t="shared" si="5"/>
        <v>350</v>
      </c>
      <c r="B351" s="7" t="s">
        <v>350</v>
      </c>
      <c r="C351" s="8" t="s">
        <v>574</v>
      </c>
      <c r="D351" s="7" t="s">
        <v>422</v>
      </c>
      <c r="E351" s="7" t="s">
        <v>518</v>
      </c>
      <c r="F351" s="7" t="s">
        <v>542</v>
      </c>
      <c r="G351" s="7" t="s">
        <v>546</v>
      </c>
      <c r="H351" s="7" t="s">
        <v>559</v>
      </c>
      <c r="I351" s="2">
        <v>302.37599999999998</v>
      </c>
      <c r="J351" s="7">
        <v>6</v>
      </c>
      <c r="K351" s="7">
        <v>0</v>
      </c>
      <c r="L351" s="7">
        <v>1925.88</v>
      </c>
    </row>
    <row r="352" spans="1:12" x14ac:dyDescent="0.35">
      <c r="A352" s="9">
        <f t="shared" si="5"/>
        <v>351</v>
      </c>
      <c r="B352" s="10" t="s">
        <v>351</v>
      </c>
      <c r="C352" s="11" t="s">
        <v>571</v>
      </c>
      <c r="D352" s="10" t="s">
        <v>422</v>
      </c>
      <c r="E352" s="10" t="s">
        <v>518</v>
      </c>
      <c r="F352" s="10" t="s">
        <v>542</v>
      </c>
      <c r="G352" s="10" t="s">
        <v>545</v>
      </c>
      <c r="H352" s="10" t="s">
        <v>558</v>
      </c>
      <c r="I352" s="1">
        <v>316</v>
      </c>
      <c r="J352" s="10">
        <v>8</v>
      </c>
      <c r="K352" s="10">
        <v>0</v>
      </c>
      <c r="L352" s="10">
        <v>2405.1999999999998</v>
      </c>
    </row>
    <row r="353" spans="1:12" x14ac:dyDescent="0.35">
      <c r="A353" s="6">
        <f t="shared" si="5"/>
        <v>352</v>
      </c>
      <c r="B353" s="7" t="s">
        <v>352</v>
      </c>
      <c r="C353" s="8" t="s">
        <v>575</v>
      </c>
      <c r="D353" s="7" t="s">
        <v>422</v>
      </c>
      <c r="E353" s="7" t="s">
        <v>518</v>
      </c>
      <c r="F353" s="7" t="s">
        <v>542</v>
      </c>
      <c r="G353" s="7" t="s">
        <v>545</v>
      </c>
      <c r="H353" s="7" t="s">
        <v>556</v>
      </c>
      <c r="I353" s="2">
        <v>379.4</v>
      </c>
      <c r="J353" s="7">
        <v>3</v>
      </c>
      <c r="K353" s="7">
        <v>0</v>
      </c>
      <c r="L353" s="7">
        <v>83.97</v>
      </c>
    </row>
    <row r="354" spans="1:12" x14ac:dyDescent="0.35">
      <c r="A354" s="9">
        <f t="shared" si="5"/>
        <v>353</v>
      </c>
      <c r="B354" s="10" t="s">
        <v>353</v>
      </c>
      <c r="C354" s="11" t="s">
        <v>576</v>
      </c>
      <c r="D354" s="10" t="s">
        <v>422</v>
      </c>
      <c r="E354" s="10" t="s">
        <v>518</v>
      </c>
      <c r="F354" s="10" t="s">
        <v>542</v>
      </c>
      <c r="G354" s="10" t="s">
        <v>545</v>
      </c>
      <c r="H354" s="10" t="s">
        <v>558</v>
      </c>
      <c r="I354" s="1">
        <v>97.82</v>
      </c>
      <c r="J354" s="10">
        <v>1</v>
      </c>
      <c r="K354" s="10">
        <v>0</v>
      </c>
      <c r="L354" s="10">
        <v>39.89</v>
      </c>
    </row>
    <row r="355" spans="1:12" x14ac:dyDescent="0.35">
      <c r="A355" s="6">
        <f t="shared" si="5"/>
        <v>354</v>
      </c>
      <c r="B355" s="7" t="s">
        <v>354</v>
      </c>
      <c r="C355" s="8" t="s">
        <v>577</v>
      </c>
      <c r="D355" s="7" t="s">
        <v>422</v>
      </c>
      <c r="E355" s="7" t="s">
        <v>518</v>
      </c>
      <c r="F355" s="7" t="s">
        <v>542</v>
      </c>
      <c r="G355" s="7" t="s">
        <v>545</v>
      </c>
      <c r="H355" s="7" t="s">
        <v>556</v>
      </c>
      <c r="I355" s="2">
        <v>103.12</v>
      </c>
      <c r="J355" s="7">
        <v>2</v>
      </c>
      <c r="K355" s="7">
        <v>0</v>
      </c>
      <c r="L355" s="7">
        <v>17.38</v>
      </c>
    </row>
    <row r="356" spans="1:12" x14ac:dyDescent="0.35">
      <c r="A356" s="9">
        <f t="shared" si="5"/>
        <v>355</v>
      </c>
      <c r="B356" s="10" t="s">
        <v>355</v>
      </c>
      <c r="C356" s="11" t="s">
        <v>573</v>
      </c>
      <c r="D356" s="10" t="s">
        <v>422</v>
      </c>
      <c r="E356" s="10" t="s">
        <v>518</v>
      </c>
      <c r="F356" s="10" t="s">
        <v>542</v>
      </c>
      <c r="G356" s="10" t="s">
        <v>544</v>
      </c>
      <c r="H356" s="10" t="s">
        <v>548</v>
      </c>
      <c r="I356" s="1">
        <v>113.55200000000001</v>
      </c>
      <c r="J356" s="10">
        <v>2</v>
      </c>
      <c r="K356" s="10">
        <v>0.2</v>
      </c>
      <c r="L356" s="10">
        <v>55.264000000000003</v>
      </c>
    </row>
    <row r="357" spans="1:12" x14ac:dyDescent="0.35">
      <c r="A357" s="6">
        <f t="shared" si="5"/>
        <v>356</v>
      </c>
      <c r="B357" s="7" t="s">
        <v>356</v>
      </c>
      <c r="C357" s="8" t="s">
        <v>571</v>
      </c>
      <c r="D357" s="7" t="s">
        <v>422</v>
      </c>
      <c r="E357" s="7" t="s">
        <v>518</v>
      </c>
      <c r="F357" s="7" t="s">
        <v>542</v>
      </c>
      <c r="G357" s="7" t="s">
        <v>545</v>
      </c>
      <c r="H357" s="7" t="s">
        <v>560</v>
      </c>
      <c r="I357" s="2">
        <v>3.3180000000000005</v>
      </c>
      <c r="J357" s="7">
        <v>1</v>
      </c>
      <c r="K357" s="7">
        <v>0</v>
      </c>
      <c r="L357" s="7">
        <v>6.48</v>
      </c>
    </row>
    <row r="358" spans="1:12" x14ac:dyDescent="0.35">
      <c r="A358" s="9">
        <f t="shared" si="5"/>
        <v>357</v>
      </c>
      <c r="B358" s="10" t="s">
        <v>357</v>
      </c>
      <c r="C358" s="11" t="s">
        <v>578</v>
      </c>
      <c r="D358" s="10" t="s">
        <v>422</v>
      </c>
      <c r="E358" s="10" t="s">
        <v>518</v>
      </c>
      <c r="F358" s="10" t="s">
        <v>542</v>
      </c>
      <c r="G358" s="10" t="s">
        <v>545</v>
      </c>
      <c r="H358" s="10" t="s">
        <v>554</v>
      </c>
      <c r="I358" s="1">
        <v>134.28800000000001</v>
      </c>
      <c r="J358" s="10">
        <v>3</v>
      </c>
      <c r="K358" s="10">
        <v>0.2</v>
      </c>
      <c r="L358" s="10">
        <v>34.248000000000005</v>
      </c>
    </row>
    <row r="359" spans="1:12" x14ac:dyDescent="0.35">
      <c r="A359" s="6">
        <f t="shared" si="5"/>
        <v>358</v>
      </c>
      <c r="B359" s="7" t="s">
        <v>358</v>
      </c>
      <c r="C359" s="8" t="s">
        <v>573</v>
      </c>
      <c r="D359" s="7" t="s">
        <v>422</v>
      </c>
      <c r="E359" s="7" t="s">
        <v>518</v>
      </c>
      <c r="F359" s="7" t="s">
        <v>542</v>
      </c>
      <c r="G359" s="7" t="s">
        <v>545</v>
      </c>
      <c r="H359" s="7" t="s">
        <v>558</v>
      </c>
      <c r="I359" s="2">
        <v>701.37199999999996</v>
      </c>
      <c r="J359" s="7">
        <v>2</v>
      </c>
      <c r="K359" s="7">
        <v>0.2</v>
      </c>
      <c r="L359" s="7">
        <v>273.56799999999998</v>
      </c>
    </row>
    <row r="360" spans="1:12" x14ac:dyDescent="0.35">
      <c r="A360" s="9">
        <f t="shared" si="5"/>
        <v>359</v>
      </c>
      <c r="B360" s="10" t="s">
        <v>359</v>
      </c>
      <c r="C360" s="11" t="s">
        <v>572</v>
      </c>
      <c r="D360" s="10" t="s">
        <v>437</v>
      </c>
      <c r="E360" s="10" t="s">
        <v>506</v>
      </c>
      <c r="F360" s="10" t="s">
        <v>539</v>
      </c>
      <c r="G360" s="10" t="s">
        <v>545</v>
      </c>
      <c r="H360" s="10" t="s">
        <v>558</v>
      </c>
      <c r="I360" s="1">
        <v>2.3079999999999994</v>
      </c>
      <c r="J360" s="10">
        <v>5</v>
      </c>
      <c r="K360" s="10">
        <v>0</v>
      </c>
      <c r="L360" s="10">
        <v>46.349999999999994</v>
      </c>
    </row>
    <row r="361" spans="1:12" x14ac:dyDescent="0.35">
      <c r="A361" s="6">
        <f t="shared" si="5"/>
        <v>360</v>
      </c>
      <c r="B361" s="7" t="s">
        <v>360</v>
      </c>
      <c r="C361" s="8" t="s">
        <v>571</v>
      </c>
      <c r="D361" s="7" t="s">
        <v>440</v>
      </c>
      <c r="E361" s="7" t="s">
        <v>535</v>
      </c>
      <c r="F361" s="7" t="s">
        <v>539</v>
      </c>
      <c r="G361" s="7" t="s">
        <v>545</v>
      </c>
      <c r="H361" s="7" t="s">
        <v>557</v>
      </c>
      <c r="I361" s="2">
        <v>999.43200000000002</v>
      </c>
      <c r="J361" s="7">
        <v>4</v>
      </c>
      <c r="K361" s="7">
        <v>0</v>
      </c>
      <c r="L361" s="7">
        <v>223.92</v>
      </c>
    </row>
    <row r="362" spans="1:12" x14ac:dyDescent="0.35">
      <c r="A362" s="9">
        <f t="shared" si="5"/>
        <v>361</v>
      </c>
      <c r="B362" s="10" t="s">
        <v>361</v>
      </c>
      <c r="C362" s="11" t="s">
        <v>571</v>
      </c>
      <c r="D362" s="10" t="s">
        <v>440</v>
      </c>
      <c r="E362" s="10" t="s">
        <v>535</v>
      </c>
      <c r="F362" s="10" t="s">
        <v>539</v>
      </c>
      <c r="G362" s="10" t="s">
        <v>545</v>
      </c>
      <c r="H362" s="10" t="s">
        <v>550</v>
      </c>
      <c r="I362" s="1">
        <v>724.08</v>
      </c>
      <c r="J362" s="10">
        <v>2</v>
      </c>
      <c r="K362" s="10">
        <v>0</v>
      </c>
      <c r="L362" s="10">
        <v>7.3</v>
      </c>
    </row>
    <row r="363" spans="1:12" x14ac:dyDescent="0.35">
      <c r="A363" s="6">
        <f t="shared" si="5"/>
        <v>362</v>
      </c>
      <c r="B363" s="7" t="s">
        <v>362</v>
      </c>
      <c r="C363" s="8" t="s">
        <v>572</v>
      </c>
      <c r="D363" s="7" t="s">
        <v>422</v>
      </c>
      <c r="E363" s="7" t="s">
        <v>518</v>
      </c>
      <c r="F363" s="7" t="s">
        <v>542</v>
      </c>
      <c r="G363" s="7" t="s">
        <v>545</v>
      </c>
      <c r="H363" s="7" t="s">
        <v>550</v>
      </c>
      <c r="I363" s="2">
        <v>918.78499999999985</v>
      </c>
      <c r="J363" s="7">
        <v>2</v>
      </c>
      <c r="K363" s="7">
        <v>0.2</v>
      </c>
      <c r="L363" s="7">
        <v>9.3439999999999994</v>
      </c>
    </row>
    <row r="364" spans="1:12" x14ac:dyDescent="0.35">
      <c r="A364" s="9">
        <f t="shared" si="5"/>
        <v>363</v>
      </c>
      <c r="B364" s="10" t="s">
        <v>363</v>
      </c>
      <c r="C364" s="11" t="s">
        <v>571</v>
      </c>
      <c r="D364" s="10" t="s">
        <v>422</v>
      </c>
      <c r="E364" s="10" t="s">
        <v>518</v>
      </c>
      <c r="F364" s="10" t="s">
        <v>542</v>
      </c>
      <c r="G364" s="10" t="s">
        <v>544</v>
      </c>
      <c r="H364" s="10" t="s">
        <v>549</v>
      </c>
      <c r="I364" s="1">
        <v>2.7239999999999993</v>
      </c>
      <c r="J364" s="10">
        <v>1</v>
      </c>
      <c r="K364" s="10">
        <v>0</v>
      </c>
      <c r="L364" s="10">
        <v>18</v>
      </c>
    </row>
    <row r="365" spans="1:12" x14ac:dyDescent="0.35">
      <c r="A365" s="6">
        <f t="shared" si="5"/>
        <v>364</v>
      </c>
      <c r="B365" s="7" t="s">
        <v>364</v>
      </c>
      <c r="C365" s="8" t="s">
        <v>573</v>
      </c>
      <c r="D365" s="7" t="s">
        <v>422</v>
      </c>
      <c r="E365" s="7" t="s">
        <v>518</v>
      </c>
      <c r="F365" s="7" t="s">
        <v>542</v>
      </c>
      <c r="G365" s="7" t="s">
        <v>545</v>
      </c>
      <c r="H365" s="7" t="s">
        <v>554</v>
      </c>
      <c r="I365" s="2">
        <v>459.95</v>
      </c>
      <c r="J365" s="7">
        <v>2</v>
      </c>
      <c r="K365" s="7">
        <v>0.2</v>
      </c>
      <c r="L365" s="7">
        <v>65.584000000000003</v>
      </c>
    </row>
    <row r="366" spans="1:12" x14ac:dyDescent="0.35">
      <c r="A366" s="9">
        <f t="shared" si="5"/>
        <v>365</v>
      </c>
      <c r="B366" s="10" t="s">
        <v>365</v>
      </c>
      <c r="C366" s="11" t="s">
        <v>574</v>
      </c>
      <c r="D366" s="10" t="s">
        <v>422</v>
      </c>
      <c r="E366" s="10" t="s">
        <v>518</v>
      </c>
      <c r="F366" s="10" t="s">
        <v>542</v>
      </c>
      <c r="G366" s="10" t="s">
        <v>544</v>
      </c>
      <c r="H366" s="10" t="s">
        <v>553</v>
      </c>
      <c r="I366" s="1">
        <v>10.74</v>
      </c>
      <c r="J366" s="10">
        <v>4</v>
      </c>
      <c r="K366" s="10">
        <v>0.32</v>
      </c>
      <c r="L366" s="10">
        <v>383.46559999999994</v>
      </c>
    </row>
    <row r="367" spans="1:12" x14ac:dyDescent="0.35">
      <c r="A367" s="6">
        <f t="shared" si="5"/>
        <v>366</v>
      </c>
      <c r="B367" s="7" t="s">
        <v>366</v>
      </c>
      <c r="C367" s="8" t="s">
        <v>571</v>
      </c>
      <c r="D367" s="7" t="s">
        <v>410</v>
      </c>
      <c r="E367" s="7" t="s">
        <v>504</v>
      </c>
      <c r="F367" s="7" t="s">
        <v>540</v>
      </c>
      <c r="G367" s="7" t="s">
        <v>545</v>
      </c>
      <c r="H367" s="7" t="s">
        <v>552</v>
      </c>
      <c r="I367" s="2">
        <v>23.76</v>
      </c>
      <c r="J367" s="7">
        <v>2</v>
      </c>
      <c r="K367" s="7">
        <v>0.2</v>
      </c>
      <c r="L367" s="7">
        <v>10.368000000000002</v>
      </c>
    </row>
    <row r="368" spans="1:12" x14ac:dyDescent="0.35">
      <c r="A368" s="9">
        <f t="shared" si="5"/>
        <v>367</v>
      </c>
      <c r="B368" s="10" t="s">
        <v>367</v>
      </c>
      <c r="C368" s="11" t="s">
        <v>575</v>
      </c>
      <c r="D368" s="10" t="s">
        <v>493</v>
      </c>
      <c r="E368" s="10" t="s">
        <v>532</v>
      </c>
      <c r="F368" s="10" t="s">
        <v>542</v>
      </c>
      <c r="G368" s="10" t="s">
        <v>545</v>
      </c>
      <c r="H368" s="10" t="s">
        <v>556</v>
      </c>
      <c r="I368" s="1">
        <v>85.055999999999997</v>
      </c>
      <c r="J368" s="10">
        <v>1</v>
      </c>
      <c r="K368" s="10">
        <v>0</v>
      </c>
      <c r="L368" s="10">
        <v>13.4</v>
      </c>
    </row>
    <row r="369" spans="1:12" x14ac:dyDescent="0.35">
      <c r="A369" s="6">
        <f t="shared" si="5"/>
        <v>368</v>
      </c>
      <c r="B369" s="7" t="s">
        <v>368</v>
      </c>
      <c r="C369" s="8" t="s">
        <v>576</v>
      </c>
      <c r="D369" s="7" t="s">
        <v>493</v>
      </c>
      <c r="E369" s="7" t="s">
        <v>532</v>
      </c>
      <c r="F369" s="7" t="s">
        <v>542</v>
      </c>
      <c r="G369" s="7" t="s">
        <v>545</v>
      </c>
      <c r="H369" s="7" t="s">
        <v>562</v>
      </c>
      <c r="I369" s="2">
        <v>381.57600000000002</v>
      </c>
      <c r="J369" s="7">
        <v>1</v>
      </c>
      <c r="K369" s="7">
        <v>0</v>
      </c>
      <c r="L369" s="7">
        <v>4.9800000000000004</v>
      </c>
    </row>
    <row r="370" spans="1:12" x14ac:dyDescent="0.35">
      <c r="A370" s="9">
        <f t="shared" si="5"/>
        <v>369</v>
      </c>
      <c r="B370" s="10" t="s">
        <v>369</v>
      </c>
      <c r="C370" s="11" t="s">
        <v>577</v>
      </c>
      <c r="D370" s="10" t="s">
        <v>493</v>
      </c>
      <c r="E370" s="10" t="s">
        <v>532</v>
      </c>
      <c r="F370" s="10" t="s">
        <v>542</v>
      </c>
      <c r="G370" s="10" t="s">
        <v>545</v>
      </c>
      <c r="H370" s="10" t="s">
        <v>552</v>
      </c>
      <c r="I370" s="1">
        <v>30.36</v>
      </c>
      <c r="J370" s="10">
        <v>7</v>
      </c>
      <c r="K370" s="10">
        <v>0</v>
      </c>
      <c r="L370" s="10">
        <v>109.69</v>
      </c>
    </row>
    <row r="371" spans="1:12" x14ac:dyDescent="0.35">
      <c r="A371" s="6">
        <f t="shared" si="5"/>
        <v>370</v>
      </c>
      <c r="B371" s="7" t="s">
        <v>370</v>
      </c>
      <c r="C371" s="8" t="s">
        <v>573</v>
      </c>
      <c r="D371" s="7" t="s">
        <v>493</v>
      </c>
      <c r="E371" s="7" t="s">
        <v>532</v>
      </c>
      <c r="F371" s="7" t="s">
        <v>542</v>
      </c>
      <c r="G371" s="7" t="s">
        <v>544</v>
      </c>
      <c r="H371" s="7" t="s">
        <v>548</v>
      </c>
      <c r="I371" s="2">
        <v>23.976000000000003</v>
      </c>
      <c r="J371" s="7">
        <v>5</v>
      </c>
      <c r="K371" s="7">
        <v>0</v>
      </c>
      <c r="L371" s="7">
        <v>40.199999999999996</v>
      </c>
    </row>
    <row r="372" spans="1:12" x14ac:dyDescent="0.35">
      <c r="A372" s="9">
        <f t="shared" si="5"/>
        <v>371</v>
      </c>
      <c r="B372" s="10" t="s">
        <v>371</v>
      </c>
      <c r="C372" s="11" t="s">
        <v>571</v>
      </c>
      <c r="D372" s="10" t="s">
        <v>494</v>
      </c>
      <c r="E372" s="10" t="s">
        <v>508</v>
      </c>
      <c r="F372" s="10" t="s">
        <v>541</v>
      </c>
      <c r="G372" s="10" t="s">
        <v>545</v>
      </c>
      <c r="H372" s="10" t="s">
        <v>558</v>
      </c>
      <c r="I372" s="1">
        <v>108.925</v>
      </c>
      <c r="J372" s="10">
        <v>2</v>
      </c>
      <c r="K372" s="10">
        <v>0</v>
      </c>
      <c r="L372" s="10">
        <v>735.98</v>
      </c>
    </row>
    <row r="373" spans="1:12" x14ac:dyDescent="0.35">
      <c r="A373" s="6">
        <f t="shared" si="5"/>
        <v>372</v>
      </c>
      <c r="B373" s="7" t="s">
        <v>372</v>
      </c>
      <c r="C373" s="8" t="s">
        <v>578</v>
      </c>
      <c r="D373" s="7" t="s">
        <v>494</v>
      </c>
      <c r="E373" s="7" t="s">
        <v>508</v>
      </c>
      <c r="F373" s="7" t="s">
        <v>541</v>
      </c>
      <c r="G373" s="7" t="s">
        <v>545</v>
      </c>
      <c r="H373" s="7" t="s">
        <v>552</v>
      </c>
      <c r="I373" s="2">
        <v>36.351999999999997</v>
      </c>
      <c r="J373" s="7">
        <v>7</v>
      </c>
      <c r="K373" s="7">
        <v>0</v>
      </c>
      <c r="L373" s="7">
        <v>22.75</v>
      </c>
    </row>
    <row r="374" spans="1:12" x14ac:dyDescent="0.35">
      <c r="A374" s="9">
        <f t="shared" si="5"/>
        <v>373</v>
      </c>
      <c r="B374" s="10" t="s">
        <v>373</v>
      </c>
      <c r="C374" s="11" t="s">
        <v>573</v>
      </c>
      <c r="D374" s="10" t="s">
        <v>495</v>
      </c>
      <c r="E374" s="10" t="s">
        <v>519</v>
      </c>
      <c r="F374" s="10" t="s">
        <v>540</v>
      </c>
      <c r="G374" s="10" t="s">
        <v>545</v>
      </c>
      <c r="H374" s="10" t="s">
        <v>556</v>
      </c>
      <c r="I374" s="1">
        <v>19.559999999999999</v>
      </c>
      <c r="J374" s="10">
        <v>2</v>
      </c>
      <c r="K374" s="10">
        <v>0</v>
      </c>
      <c r="L374" s="10">
        <v>119.56</v>
      </c>
    </row>
    <row r="375" spans="1:12" x14ac:dyDescent="0.35">
      <c r="A375" s="6">
        <f t="shared" si="5"/>
        <v>374</v>
      </c>
      <c r="B375" s="7" t="s">
        <v>374</v>
      </c>
      <c r="C375" s="8" t="s">
        <v>572</v>
      </c>
      <c r="D375" s="7" t="s">
        <v>495</v>
      </c>
      <c r="E375" s="7" t="s">
        <v>519</v>
      </c>
      <c r="F375" s="7" t="s">
        <v>540</v>
      </c>
      <c r="G375" s="7" t="s">
        <v>546</v>
      </c>
      <c r="H375" s="7" t="s">
        <v>559</v>
      </c>
      <c r="I375" s="2">
        <v>61.44</v>
      </c>
      <c r="J375" s="7">
        <v>5</v>
      </c>
      <c r="K375" s="7">
        <v>0</v>
      </c>
      <c r="L375" s="7">
        <v>140.75</v>
      </c>
    </row>
    <row r="376" spans="1:12" x14ac:dyDescent="0.35">
      <c r="A376" s="9">
        <f t="shared" si="5"/>
        <v>375</v>
      </c>
      <c r="B376" s="10" t="s">
        <v>375</v>
      </c>
      <c r="C376" s="11" t="s">
        <v>571</v>
      </c>
      <c r="D376" s="10" t="s">
        <v>495</v>
      </c>
      <c r="E376" s="10" t="s">
        <v>519</v>
      </c>
      <c r="F376" s="10" t="s">
        <v>540</v>
      </c>
      <c r="G376" s="10" t="s">
        <v>545</v>
      </c>
      <c r="H376" s="10" t="s">
        <v>554</v>
      </c>
      <c r="I376" s="1">
        <v>38.9</v>
      </c>
      <c r="J376" s="10">
        <v>2</v>
      </c>
      <c r="K376" s="10">
        <v>0.2</v>
      </c>
      <c r="L376" s="10">
        <v>99.567999999999998</v>
      </c>
    </row>
    <row r="377" spans="1:12" x14ac:dyDescent="0.35">
      <c r="A377" s="6">
        <f t="shared" si="5"/>
        <v>376</v>
      </c>
      <c r="B377" s="7" t="s">
        <v>376</v>
      </c>
      <c r="C377" s="8" t="s">
        <v>571</v>
      </c>
      <c r="D377" s="7" t="s">
        <v>495</v>
      </c>
      <c r="E377" s="7" t="s">
        <v>519</v>
      </c>
      <c r="F377" s="7" t="s">
        <v>540</v>
      </c>
      <c r="G377" s="7" t="s">
        <v>546</v>
      </c>
      <c r="H377" s="7" t="s">
        <v>559</v>
      </c>
      <c r="I377" s="2">
        <v>99.390000000000015</v>
      </c>
      <c r="J377" s="7">
        <v>5</v>
      </c>
      <c r="K377" s="7">
        <v>0.2</v>
      </c>
      <c r="L377" s="7">
        <v>271.95999999999998</v>
      </c>
    </row>
    <row r="378" spans="1:12" x14ac:dyDescent="0.35">
      <c r="A378" s="9">
        <f t="shared" si="5"/>
        <v>377</v>
      </c>
      <c r="B378" s="10" t="s">
        <v>377</v>
      </c>
      <c r="C378" s="11" t="s">
        <v>572</v>
      </c>
      <c r="D378" s="10" t="s">
        <v>496</v>
      </c>
      <c r="E378" s="10" t="s">
        <v>513</v>
      </c>
      <c r="F378" s="10" t="s">
        <v>541</v>
      </c>
      <c r="G378" s="10" t="s">
        <v>545</v>
      </c>
      <c r="H378" s="10" t="s">
        <v>558</v>
      </c>
      <c r="I378" s="1">
        <v>2.6879999999999997</v>
      </c>
      <c r="J378" s="10">
        <v>7</v>
      </c>
      <c r="K378" s="10">
        <v>0</v>
      </c>
      <c r="L378" s="10">
        <v>18.689999999999998</v>
      </c>
    </row>
    <row r="379" spans="1:12" x14ac:dyDescent="0.35">
      <c r="A379" s="6">
        <f t="shared" si="5"/>
        <v>378</v>
      </c>
      <c r="B379" s="7" t="s">
        <v>378</v>
      </c>
      <c r="C379" s="8" t="s">
        <v>571</v>
      </c>
      <c r="D379" s="7" t="s">
        <v>449</v>
      </c>
      <c r="E379" s="7" t="s">
        <v>534</v>
      </c>
      <c r="F379" s="7" t="s">
        <v>542</v>
      </c>
      <c r="G379" s="7" t="s">
        <v>544</v>
      </c>
      <c r="H379" s="7" t="s">
        <v>551</v>
      </c>
      <c r="I379" s="2">
        <v>27.816000000000003</v>
      </c>
      <c r="J379" s="7">
        <v>2</v>
      </c>
      <c r="K379" s="7">
        <v>0</v>
      </c>
      <c r="L379" s="7">
        <v>13.36</v>
      </c>
    </row>
    <row r="380" spans="1:12" x14ac:dyDescent="0.35">
      <c r="A380" s="9">
        <f t="shared" si="5"/>
        <v>379</v>
      </c>
      <c r="B380" s="10" t="s">
        <v>379</v>
      </c>
      <c r="C380" s="11" t="s">
        <v>573</v>
      </c>
      <c r="D380" s="10" t="s">
        <v>414</v>
      </c>
      <c r="E380" s="10" t="s">
        <v>508</v>
      </c>
      <c r="F380" s="10" t="s">
        <v>541</v>
      </c>
      <c r="G380" s="10" t="s">
        <v>545</v>
      </c>
      <c r="H380" s="10" t="s">
        <v>557</v>
      </c>
      <c r="I380" s="1">
        <v>82.524000000000001</v>
      </c>
      <c r="J380" s="10">
        <v>2</v>
      </c>
      <c r="K380" s="10">
        <v>0.2</v>
      </c>
      <c r="L380" s="10">
        <v>249.58400000000003</v>
      </c>
    </row>
    <row r="381" spans="1:12" x14ac:dyDescent="0.35">
      <c r="A381" s="6">
        <f t="shared" si="5"/>
        <v>380</v>
      </c>
      <c r="B381" s="7" t="s">
        <v>380</v>
      </c>
      <c r="C381" s="8" t="s">
        <v>574</v>
      </c>
      <c r="D381" s="7" t="s">
        <v>414</v>
      </c>
      <c r="E381" s="7" t="s">
        <v>508</v>
      </c>
      <c r="F381" s="7" t="s">
        <v>541</v>
      </c>
      <c r="G381" s="7" t="s">
        <v>545</v>
      </c>
      <c r="H381" s="7" t="s">
        <v>552</v>
      </c>
      <c r="I381" s="2">
        <v>182.99399999999997</v>
      </c>
      <c r="J381" s="7">
        <v>7</v>
      </c>
      <c r="K381" s="7">
        <v>0</v>
      </c>
      <c r="L381" s="7">
        <v>13.86</v>
      </c>
    </row>
    <row r="382" spans="1:12" x14ac:dyDescent="0.35">
      <c r="A382" s="9">
        <f t="shared" si="5"/>
        <v>381</v>
      </c>
      <c r="B382" s="10" t="s">
        <v>381</v>
      </c>
      <c r="C382" s="11" t="s">
        <v>571</v>
      </c>
      <c r="D382" s="10" t="s">
        <v>414</v>
      </c>
      <c r="E382" s="10" t="s">
        <v>508</v>
      </c>
      <c r="F382" s="10" t="s">
        <v>541</v>
      </c>
      <c r="G382" s="10" t="s">
        <v>545</v>
      </c>
      <c r="H382" s="10" t="s">
        <v>556</v>
      </c>
      <c r="I382" s="1">
        <v>14.352000000000002</v>
      </c>
      <c r="J382" s="10">
        <v>4</v>
      </c>
      <c r="K382" s="10">
        <v>0.2</v>
      </c>
      <c r="L382" s="10">
        <v>13.375999999999999</v>
      </c>
    </row>
    <row r="383" spans="1:12" x14ac:dyDescent="0.35">
      <c r="A383" s="6">
        <f t="shared" si="5"/>
        <v>382</v>
      </c>
      <c r="B383" s="7" t="s">
        <v>382</v>
      </c>
      <c r="C383" s="8" t="s">
        <v>575</v>
      </c>
      <c r="D383" s="7" t="s">
        <v>410</v>
      </c>
      <c r="E383" s="7" t="s">
        <v>504</v>
      </c>
      <c r="F383" s="7" t="s">
        <v>540</v>
      </c>
      <c r="G383" s="7" t="s">
        <v>545</v>
      </c>
      <c r="H383" s="7" t="s">
        <v>558</v>
      </c>
      <c r="I383" s="2">
        <v>64.959999999999994</v>
      </c>
      <c r="J383" s="7">
        <v>14</v>
      </c>
      <c r="K383" s="7">
        <v>0.2</v>
      </c>
      <c r="L383" s="7">
        <v>437.47200000000009</v>
      </c>
    </row>
    <row r="384" spans="1:12" x14ac:dyDescent="0.35">
      <c r="A384" s="9">
        <f t="shared" si="5"/>
        <v>383</v>
      </c>
      <c r="B384" s="10" t="s">
        <v>383</v>
      </c>
      <c r="C384" s="11" t="s">
        <v>576</v>
      </c>
      <c r="D384" s="10" t="s">
        <v>410</v>
      </c>
      <c r="E384" s="10" t="s">
        <v>504</v>
      </c>
      <c r="F384" s="10" t="s">
        <v>540</v>
      </c>
      <c r="G384" s="10" t="s">
        <v>545</v>
      </c>
      <c r="H384" s="10" t="s">
        <v>556</v>
      </c>
      <c r="I384" s="1">
        <v>68.599999999999994</v>
      </c>
      <c r="J384" s="10">
        <v>1</v>
      </c>
      <c r="K384" s="10">
        <v>0</v>
      </c>
      <c r="L384" s="10">
        <v>85.98</v>
      </c>
    </row>
    <row r="385" spans="1:12" x14ac:dyDescent="0.35">
      <c r="A385" s="6">
        <f t="shared" si="5"/>
        <v>384</v>
      </c>
      <c r="B385" s="7" t="s">
        <v>384</v>
      </c>
      <c r="C385" s="8" t="s">
        <v>577</v>
      </c>
      <c r="D385" s="7" t="s">
        <v>481</v>
      </c>
      <c r="E385" s="7" t="s">
        <v>515</v>
      </c>
      <c r="F385" s="7" t="s">
        <v>541</v>
      </c>
      <c r="G385" s="7" t="s">
        <v>546</v>
      </c>
      <c r="H385" s="7" t="s">
        <v>559</v>
      </c>
      <c r="I385" s="2">
        <v>7999.98</v>
      </c>
      <c r="J385" s="7">
        <v>5</v>
      </c>
      <c r="K385" s="7">
        <v>0.2</v>
      </c>
      <c r="L385" s="7">
        <v>16.520000000000003</v>
      </c>
    </row>
    <row r="386" spans="1:12" x14ac:dyDescent="0.35">
      <c r="A386" s="9">
        <f t="shared" si="5"/>
        <v>385</v>
      </c>
      <c r="B386" s="10" t="s">
        <v>385</v>
      </c>
      <c r="C386" s="11" t="s">
        <v>573</v>
      </c>
      <c r="D386" s="10" t="s">
        <v>497</v>
      </c>
      <c r="E386" s="10" t="s">
        <v>505</v>
      </c>
      <c r="F386" s="10" t="s">
        <v>539</v>
      </c>
      <c r="G386" s="10" t="s">
        <v>544</v>
      </c>
      <c r="H386" s="10" t="s">
        <v>551</v>
      </c>
      <c r="I386" s="1">
        <v>167.44000000000003</v>
      </c>
      <c r="J386" s="10">
        <v>7</v>
      </c>
      <c r="K386" s="10">
        <v>0</v>
      </c>
      <c r="L386" s="10">
        <v>35.56</v>
      </c>
    </row>
    <row r="387" spans="1:12" x14ac:dyDescent="0.35">
      <c r="A387" s="6">
        <f t="shared" ref="A387:A401" si="6">A386+1</f>
        <v>386</v>
      </c>
      <c r="B387" s="7" t="s">
        <v>386</v>
      </c>
      <c r="C387" s="8" t="s">
        <v>571</v>
      </c>
      <c r="D387" s="7" t="s">
        <v>497</v>
      </c>
      <c r="E387" s="7" t="s">
        <v>505</v>
      </c>
      <c r="F387" s="7" t="s">
        <v>539</v>
      </c>
      <c r="G387" s="7" t="s">
        <v>546</v>
      </c>
      <c r="H387" s="7" t="s">
        <v>559</v>
      </c>
      <c r="I387" s="2">
        <v>479.97</v>
      </c>
      <c r="J387" s="7">
        <v>2</v>
      </c>
      <c r="K387" s="7">
        <v>0</v>
      </c>
      <c r="L387" s="7">
        <v>97.98</v>
      </c>
    </row>
    <row r="388" spans="1:12" x14ac:dyDescent="0.35">
      <c r="A388" s="9">
        <f t="shared" si="6"/>
        <v>387</v>
      </c>
      <c r="B388" s="10" t="s">
        <v>387</v>
      </c>
      <c r="C388" s="11" t="s">
        <v>578</v>
      </c>
      <c r="D388" s="10" t="s">
        <v>412</v>
      </c>
      <c r="E388" s="10" t="s">
        <v>512</v>
      </c>
      <c r="F388" s="10" t="s">
        <v>542</v>
      </c>
      <c r="G388" s="10" t="s">
        <v>546</v>
      </c>
      <c r="H388" s="10" t="s">
        <v>563</v>
      </c>
      <c r="I388" s="1">
        <v>14.62</v>
      </c>
      <c r="J388" s="10">
        <v>10</v>
      </c>
      <c r="K388" s="10">
        <v>0</v>
      </c>
      <c r="L388" s="10">
        <v>31.5</v>
      </c>
    </row>
    <row r="389" spans="1:12" x14ac:dyDescent="0.35">
      <c r="A389" s="6">
        <f t="shared" si="6"/>
        <v>388</v>
      </c>
      <c r="B389" s="7" t="s">
        <v>388</v>
      </c>
      <c r="C389" s="8" t="s">
        <v>573</v>
      </c>
      <c r="D389" s="7" t="s">
        <v>412</v>
      </c>
      <c r="E389" s="7" t="s">
        <v>512</v>
      </c>
      <c r="F389" s="7" t="s">
        <v>542</v>
      </c>
      <c r="G389" s="7" t="s">
        <v>544</v>
      </c>
      <c r="H389" s="7" t="s">
        <v>553</v>
      </c>
      <c r="I389" s="2">
        <v>19.440000000000001</v>
      </c>
      <c r="J389" s="7">
        <v>4</v>
      </c>
      <c r="K389" s="7">
        <v>0</v>
      </c>
      <c r="L389" s="7">
        <v>55.6</v>
      </c>
    </row>
    <row r="390" spans="1:12" x14ac:dyDescent="0.35">
      <c r="A390" s="9">
        <f t="shared" si="6"/>
        <v>389</v>
      </c>
      <c r="B390" s="10" t="s">
        <v>389</v>
      </c>
      <c r="C390" s="11" t="s">
        <v>572</v>
      </c>
      <c r="D390" s="10" t="s">
        <v>476</v>
      </c>
      <c r="E390" s="10" t="s">
        <v>527</v>
      </c>
      <c r="F390" s="10" t="s">
        <v>542</v>
      </c>
      <c r="G390" s="10" t="s">
        <v>545</v>
      </c>
      <c r="H390" s="10" t="s">
        <v>554</v>
      </c>
      <c r="I390" s="1">
        <v>191.98400000000001</v>
      </c>
      <c r="J390" s="10">
        <v>1</v>
      </c>
      <c r="K390" s="10">
        <v>0</v>
      </c>
      <c r="L390" s="10">
        <v>36.24</v>
      </c>
    </row>
    <row r="391" spans="1:12" x14ac:dyDescent="0.35">
      <c r="A391" s="6">
        <f t="shared" si="6"/>
        <v>390</v>
      </c>
      <c r="B391" s="7" t="s">
        <v>390</v>
      </c>
      <c r="C391" s="8" t="s">
        <v>571</v>
      </c>
      <c r="D391" s="7" t="s">
        <v>422</v>
      </c>
      <c r="E391" s="7" t="s">
        <v>518</v>
      </c>
      <c r="F391" s="7" t="s">
        <v>542</v>
      </c>
      <c r="G391" s="7" t="s">
        <v>545</v>
      </c>
      <c r="H391" s="7" t="s">
        <v>556</v>
      </c>
      <c r="I391" s="2">
        <v>104.01</v>
      </c>
      <c r="J391" s="7">
        <v>1</v>
      </c>
      <c r="K391" s="7">
        <v>0</v>
      </c>
      <c r="L391" s="7">
        <v>79.989999999999995</v>
      </c>
    </row>
    <row r="392" spans="1:12" x14ac:dyDescent="0.35">
      <c r="A392" s="9">
        <f t="shared" si="6"/>
        <v>391</v>
      </c>
      <c r="B392" s="10" t="s">
        <v>391</v>
      </c>
      <c r="C392" s="11" t="s">
        <v>571</v>
      </c>
      <c r="D392" s="10" t="s">
        <v>422</v>
      </c>
      <c r="E392" s="10" t="s">
        <v>518</v>
      </c>
      <c r="F392" s="10" t="s">
        <v>542</v>
      </c>
      <c r="G392" s="10" t="s">
        <v>546</v>
      </c>
      <c r="H392" s="10" t="s">
        <v>559</v>
      </c>
      <c r="I392" s="1">
        <v>284.82</v>
      </c>
      <c r="J392" s="10">
        <v>5</v>
      </c>
      <c r="K392" s="10">
        <v>0</v>
      </c>
      <c r="L392" s="10">
        <v>206.1</v>
      </c>
    </row>
    <row r="393" spans="1:12" x14ac:dyDescent="0.35">
      <c r="A393" s="6">
        <f t="shared" si="6"/>
        <v>392</v>
      </c>
      <c r="B393" s="7" t="s">
        <v>392</v>
      </c>
      <c r="C393" s="8" t="s">
        <v>572</v>
      </c>
      <c r="D393" s="7" t="s">
        <v>498</v>
      </c>
      <c r="E393" s="7" t="s">
        <v>507</v>
      </c>
      <c r="F393" s="7" t="s">
        <v>540</v>
      </c>
      <c r="G393" s="7" t="s">
        <v>546</v>
      </c>
      <c r="H393" s="7" t="s">
        <v>555</v>
      </c>
      <c r="I393" s="2">
        <v>36.839999999999996</v>
      </c>
      <c r="J393" s="7">
        <v>3</v>
      </c>
      <c r="K393" s="7">
        <v>0.2</v>
      </c>
      <c r="L393" s="7">
        <v>25.248000000000001</v>
      </c>
    </row>
    <row r="394" spans="1:12" x14ac:dyDescent="0.35">
      <c r="A394" s="9">
        <f t="shared" si="6"/>
        <v>393</v>
      </c>
      <c r="B394" s="10" t="s">
        <v>393</v>
      </c>
      <c r="C394" s="11" t="s">
        <v>571</v>
      </c>
      <c r="D394" s="10" t="s">
        <v>498</v>
      </c>
      <c r="E394" s="10" t="s">
        <v>507</v>
      </c>
      <c r="F394" s="10" t="s">
        <v>540</v>
      </c>
      <c r="G394" s="10" t="s">
        <v>546</v>
      </c>
      <c r="H394" s="10" t="s">
        <v>564</v>
      </c>
      <c r="I394" s="1">
        <v>166.24</v>
      </c>
      <c r="J394" s="10">
        <v>2</v>
      </c>
      <c r="K394" s="10">
        <v>0</v>
      </c>
      <c r="L394" s="10">
        <v>91.96</v>
      </c>
    </row>
    <row r="395" spans="1:12" x14ac:dyDescent="0.35">
      <c r="A395" s="6">
        <f t="shared" si="6"/>
        <v>394</v>
      </c>
      <c r="B395" s="7" t="s">
        <v>394</v>
      </c>
      <c r="C395" s="8" t="s">
        <v>573</v>
      </c>
      <c r="D395" s="7" t="s">
        <v>499</v>
      </c>
      <c r="E395" s="7" t="s">
        <v>513</v>
      </c>
      <c r="F395" s="7" t="s">
        <v>541</v>
      </c>
      <c r="G395" s="7" t="s">
        <v>545</v>
      </c>
      <c r="H395" s="7" t="s">
        <v>556</v>
      </c>
      <c r="I395" s="2">
        <v>33.4</v>
      </c>
      <c r="J395" s="7">
        <v>2</v>
      </c>
      <c r="K395" s="7">
        <v>0.2</v>
      </c>
      <c r="L395" s="7">
        <v>258.57600000000002</v>
      </c>
    </row>
    <row r="396" spans="1:12" x14ac:dyDescent="0.35">
      <c r="A396" s="9">
        <f t="shared" si="6"/>
        <v>395</v>
      </c>
      <c r="B396" s="10" t="s">
        <v>395</v>
      </c>
      <c r="C396" s="11" t="s">
        <v>574</v>
      </c>
      <c r="D396" s="10" t="s">
        <v>500</v>
      </c>
      <c r="E396" s="10" t="s">
        <v>536</v>
      </c>
      <c r="F396" s="10" t="s">
        <v>540</v>
      </c>
      <c r="G396" s="10" t="s">
        <v>545</v>
      </c>
      <c r="H396" s="10" t="s">
        <v>556</v>
      </c>
      <c r="I396" s="1">
        <v>198.27200000000002</v>
      </c>
      <c r="J396" s="10">
        <v>4</v>
      </c>
      <c r="K396" s="10">
        <v>0</v>
      </c>
      <c r="L396" s="10">
        <v>29.6</v>
      </c>
    </row>
    <row r="397" spans="1:12" x14ac:dyDescent="0.35">
      <c r="A397" s="6">
        <f t="shared" si="6"/>
        <v>396</v>
      </c>
      <c r="B397" s="7" t="s">
        <v>396</v>
      </c>
      <c r="C397" s="8" t="s">
        <v>571</v>
      </c>
      <c r="D397" s="7" t="s">
        <v>501</v>
      </c>
      <c r="E397" s="7" t="s">
        <v>537</v>
      </c>
      <c r="F397" s="7" t="s">
        <v>542</v>
      </c>
      <c r="G397" s="7" t="s">
        <v>545</v>
      </c>
      <c r="H397" s="7" t="s">
        <v>552</v>
      </c>
      <c r="I397" s="2">
        <v>47.360000000000007</v>
      </c>
      <c r="J397" s="7">
        <v>2</v>
      </c>
      <c r="K397" s="7">
        <v>0</v>
      </c>
      <c r="L397" s="7">
        <v>243.16</v>
      </c>
    </row>
    <row r="398" spans="1:12" x14ac:dyDescent="0.35">
      <c r="A398" s="9">
        <f t="shared" si="6"/>
        <v>397</v>
      </c>
      <c r="B398" s="10" t="s">
        <v>397</v>
      </c>
      <c r="C398" s="11" t="s">
        <v>575</v>
      </c>
      <c r="D398" s="10" t="s">
        <v>501</v>
      </c>
      <c r="E398" s="10" t="s">
        <v>537</v>
      </c>
      <c r="F398" s="10" t="s">
        <v>542</v>
      </c>
      <c r="G398" s="10" t="s">
        <v>545</v>
      </c>
      <c r="H398" s="10" t="s">
        <v>558</v>
      </c>
      <c r="I398" s="1">
        <v>200.98400000000004</v>
      </c>
      <c r="J398" s="10">
        <v>2</v>
      </c>
      <c r="K398" s="10">
        <v>0</v>
      </c>
      <c r="L398" s="10">
        <v>261.95999999999998</v>
      </c>
    </row>
    <row r="399" spans="1:12" x14ac:dyDescent="0.35">
      <c r="A399" s="6">
        <f t="shared" si="6"/>
        <v>398</v>
      </c>
      <c r="B399" s="7" t="s">
        <v>398</v>
      </c>
      <c r="C399" s="8" t="s">
        <v>576</v>
      </c>
      <c r="D399" s="7" t="s">
        <v>427</v>
      </c>
      <c r="E399" s="7" t="s">
        <v>515</v>
      </c>
      <c r="F399" s="7" t="s">
        <v>541</v>
      </c>
      <c r="G399" s="7" t="s">
        <v>545</v>
      </c>
      <c r="H399" s="7" t="s">
        <v>562</v>
      </c>
      <c r="I399" s="2">
        <v>97.696000000000012</v>
      </c>
      <c r="J399" s="7">
        <v>3</v>
      </c>
      <c r="K399" s="7">
        <v>0</v>
      </c>
      <c r="L399" s="7">
        <v>731.93999999999994</v>
      </c>
    </row>
    <row r="400" spans="1:12" x14ac:dyDescent="0.35">
      <c r="A400" s="9">
        <f t="shared" si="6"/>
        <v>399</v>
      </c>
      <c r="B400" s="10" t="s">
        <v>399</v>
      </c>
      <c r="C400" s="11" t="s">
        <v>577</v>
      </c>
      <c r="D400" s="10" t="s">
        <v>414</v>
      </c>
      <c r="E400" s="10" t="s">
        <v>508</v>
      </c>
      <c r="F400" s="10" t="s">
        <v>541</v>
      </c>
      <c r="G400" s="10" t="s">
        <v>545</v>
      </c>
      <c r="H400" s="10" t="s">
        <v>552</v>
      </c>
      <c r="I400" s="1">
        <v>2.6960000000000002</v>
      </c>
      <c r="J400" s="10">
        <v>2</v>
      </c>
      <c r="K400" s="10">
        <v>0</v>
      </c>
      <c r="L400" s="10">
        <v>14.62</v>
      </c>
    </row>
    <row r="401" spans="1:12" x14ac:dyDescent="0.35">
      <c r="A401" s="6">
        <f t="shared" si="6"/>
        <v>400</v>
      </c>
      <c r="B401" s="7" t="s">
        <v>400</v>
      </c>
      <c r="C401" s="8" t="s">
        <v>573</v>
      </c>
      <c r="D401" s="7" t="s">
        <v>414</v>
      </c>
      <c r="E401" s="7" t="s">
        <v>508</v>
      </c>
      <c r="F401" s="7" t="s">
        <v>541</v>
      </c>
      <c r="G401" s="7" t="s">
        <v>544</v>
      </c>
      <c r="H401" s="7" t="s">
        <v>548</v>
      </c>
      <c r="I401" s="2">
        <v>18.588000000000005</v>
      </c>
      <c r="J401" s="7">
        <v>5</v>
      </c>
      <c r="K401" s="7">
        <v>0.45</v>
      </c>
      <c r="L401" s="7">
        <v>957.57749999999999</v>
      </c>
    </row>
  </sheetData>
  <conditionalFormatting sqref="B1:C1">
    <cfRule type="duplicateValues" dxfId="0" priority="5"/>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2B708-2666-499A-A9BD-A58B2E2A1B2B}">
  <dimension ref="A3:M8"/>
  <sheetViews>
    <sheetView zoomScale="70" zoomScaleNormal="70" workbookViewId="0">
      <selection activeCell="E6" sqref="E6"/>
    </sheetView>
  </sheetViews>
  <sheetFormatPr defaultRowHeight="14.5" x14ac:dyDescent="0.35"/>
  <cols>
    <col min="1" max="1" width="13.1796875" bestFit="1" customWidth="1"/>
    <col min="2" max="2" width="15.90625" bestFit="1" customWidth="1"/>
    <col min="3" max="4" width="8.36328125" bestFit="1" customWidth="1"/>
    <col min="5" max="5" width="8.453125" bestFit="1" customWidth="1"/>
    <col min="6" max="6" width="7.36328125" bestFit="1" customWidth="1"/>
    <col min="7" max="7" width="11.6328125" bestFit="1" customWidth="1"/>
    <col min="8" max="8" width="14.36328125" bestFit="1" customWidth="1"/>
    <col min="9" max="9" width="12.08984375" bestFit="1" customWidth="1"/>
    <col min="10" max="10" width="10.7265625" bestFit="1" customWidth="1"/>
  </cols>
  <sheetData>
    <row r="3" spans="1:13" ht="18.5" x14ac:dyDescent="0.45">
      <c r="A3" s="15" t="s">
        <v>581</v>
      </c>
      <c r="B3" s="15" t="s">
        <v>585</v>
      </c>
      <c r="K3" s="21"/>
      <c r="L3" s="21"/>
      <c r="M3" s="21"/>
    </row>
    <row r="4" spans="1:13" x14ac:dyDescent="0.35">
      <c r="A4" s="15" t="s">
        <v>579</v>
      </c>
      <c r="B4" t="s">
        <v>575</v>
      </c>
      <c r="C4" t="s">
        <v>573</v>
      </c>
      <c r="D4" t="s">
        <v>577</v>
      </c>
      <c r="E4" t="s">
        <v>574</v>
      </c>
      <c r="F4" t="s">
        <v>578</v>
      </c>
      <c r="G4" t="s">
        <v>576</v>
      </c>
      <c r="H4" t="s">
        <v>572</v>
      </c>
      <c r="I4" t="s">
        <v>571</v>
      </c>
      <c r="J4" t="s">
        <v>580</v>
      </c>
    </row>
    <row r="5" spans="1:13" x14ac:dyDescent="0.35">
      <c r="A5" s="16" t="s">
        <v>544</v>
      </c>
      <c r="B5" s="23">
        <v>259.24800000000005</v>
      </c>
      <c r="C5" s="23">
        <v>2132.5610000000001</v>
      </c>
      <c r="D5" s="23">
        <v>2740.9120000000003</v>
      </c>
      <c r="E5" s="23">
        <v>1859.2440000000001</v>
      </c>
      <c r="F5" s="23">
        <v>18.622</v>
      </c>
      <c r="G5" s="23">
        <v>853.96199999999999</v>
      </c>
      <c r="H5" s="23">
        <v>3168.4540000000002</v>
      </c>
      <c r="I5" s="23">
        <v>5594.11</v>
      </c>
      <c r="J5" s="23">
        <v>16627.113000000001</v>
      </c>
    </row>
    <row r="6" spans="1:13" x14ac:dyDescent="0.35">
      <c r="A6" s="16" t="s">
        <v>545</v>
      </c>
      <c r="B6" s="23">
        <v>2113.4140000000002</v>
      </c>
      <c r="C6" s="23">
        <v>12269.609899999998</v>
      </c>
      <c r="D6" s="23">
        <v>6674.6220000000003</v>
      </c>
      <c r="E6" s="23">
        <v>1613.9479999999999</v>
      </c>
      <c r="F6" s="23">
        <v>2158.2359999999999</v>
      </c>
      <c r="G6" s="23">
        <v>6485.7250000000004</v>
      </c>
      <c r="H6" s="23">
        <v>6380.2779999999984</v>
      </c>
      <c r="I6" s="23">
        <v>21065.307999999997</v>
      </c>
      <c r="J6" s="23">
        <v>58761.140899999999</v>
      </c>
    </row>
    <row r="7" spans="1:13" x14ac:dyDescent="0.35">
      <c r="A7" s="16" t="s">
        <v>546</v>
      </c>
      <c r="B7" s="23">
        <v>341.77799999999996</v>
      </c>
      <c r="C7" s="23">
        <v>1432.038</v>
      </c>
      <c r="D7" s="23">
        <v>9234.75</v>
      </c>
      <c r="E7" s="23">
        <v>661.38599999999997</v>
      </c>
      <c r="F7" s="23">
        <v>2991.8759999999997</v>
      </c>
      <c r="G7" s="23">
        <v>302.32800000000003</v>
      </c>
      <c r="H7" s="23">
        <v>1867.854</v>
      </c>
      <c r="I7" s="23">
        <v>10245.996999999999</v>
      </c>
      <c r="J7" s="23">
        <v>27078.007000000001</v>
      </c>
    </row>
    <row r="8" spans="1:13" x14ac:dyDescent="0.35">
      <c r="A8" s="16" t="s">
        <v>580</v>
      </c>
      <c r="B8" s="23">
        <v>2714.44</v>
      </c>
      <c r="C8" s="23">
        <v>15834.208899999998</v>
      </c>
      <c r="D8" s="23">
        <v>18650.284</v>
      </c>
      <c r="E8" s="23">
        <v>4134.5779999999995</v>
      </c>
      <c r="F8" s="23">
        <v>5168.7339999999995</v>
      </c>
      <c r="G8" s="23">
        <v>7642.0150000000003</v>
      </c>
      <c r="H8" s="23">
        <v>11416.585999999998</v>
      </c>
      <c r="I8" s="23">
        <v>36905.414999999994</v>
      </c>
      <c r="J8" s="23">
        <v>102466.26089999999</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FAB55FD2-25E9-43D9-9B1E-EEFAB7167815}">
          <x14:colorSeries rgb="FF376092"/>
          <x14:colorNegative rgb="FFD00000"/>
          <x14:colorAxis rgb="FF000000"/>
          <x14:colorMarkers rgb="FFD00000"/>
          <x14:colorFirst rgb="FFD00000"/>
          <x14:colorLast rgb="FFD00000"/>
          <x14:colorHigh rgb="FFD00000"/>
          <x14:colorLow rgb="FFD00000"/>
          <x14:sparklines>
            <x14:sparkline>
              <xm:f>q!B3</xm:f>
              <xm:sqref>E9</xm:sqref>
            </x14:sparkline>
          </x14:sparklines>
        </x14:sparklineGroup>
        <x14:sparklineGroup displayEmptyCellsAs="gap" xr2:uid="{842D6BB1-2D25-4BA8-967A-00882C0CB813}">
          <x14:colorSeries rgb="FF376092"/>
          <x14:colorNegative rgb="FFD00000"/>
          <x14:colorAxis rgb="FF000000"/>
          <x14:colorMarkers rgb="FFD00000"/>
          <x14:colorFirst rgb="FFD00000"/>
          <x14:colorLast rgb="FFD00000"/>
          <x14:colorHigh rgb="FFD00000"/>
          <x14:colorLow rgb="FFD00000"/>
          <x14:sparklines>
            <x14:sparkline>
              <xm:f>q!B5:B5</xm:f>
              <xm:sqref>B5</xm:sqref>
            </x14:sparkline>
            <x14:sparkline>
              <xm:f>q!B6:B6</xm:f>
              <xm:sqref>B6</xm:sqref>
            </x14:sparkline>
            <x14:sparkline>
              <xm:f>q!B7:B7</xm:f>
              <xm:sqref>B7</xm:sqref>
            </x14:sparkline>
            <x14:sparkline>
              <xm:f>q!B8:B8</xm:f>
              <xm:sqref>B8</xm:sqref>
            </x14:sparkline>
            <x14:sparkline>
              <xm:f>q!B9:B9</xm:f>
              <xm:sqref>B9</xm:sqref>
            </x14:sparkline>
            <x14:sparkline>
              <xm:f>q!B10:B10</xm:f>
              <xm:sqref>B10</xm:sqref>
            </x14:sparkline>
            <x14:sparkline>
              <xm:f>q!B11:B11</xm:f>
              <xm:sqref>B11</xm:sqref>
            </x14:sparkline>
            <x14:sparkline>
              <xm:f>q!B12:B12</xm:f>
              <xm:sqref>B12</xm:sqref>
            </x14:sparkline>
            <x14:sparkline>
              <xm:f>q!B13:B13</xm:f>
              <xm:sqref>B13</xm:sqref>
            </x14:sparkline>
            <x14:sparkline>
              <xm:f>q!B14:B14</xm:f>
              <xm:sqref>B14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914B-713C-4FD1-88A1-D944BD8AEF82}">
  <dimension ref="A3:T12"/>
  <sheetViews>
    <sheetView workbookViewId="0">
      <selection activeCell="A6" sqref="A4:A11"/>
      <pivotSelection pane="bottomRight" showHeader="1" axis="axisRow" activeRow="5" previousRow="5" click="1" r:id="rId1">
        <pivotArea dataOnly="0" labelOnly="1" fieldPosition="0">
          <references count="1">
            <reference field="2" count="0"/>
          </references>
        </pivotArea>
      </pivotSelection>
    </sheetView>
  </sheetViews>
  <sheetFormatPr defaultRowHeight="14.5" x14ac:dyDescent="0.35"/>
  <cols>
    <col min="1" max="1" width="14.1796875" bestFit="1" customWidth="1"/>
    <col min="2" max="2" width="11.26953125" bestFit="1" customWidth="1"/>
    <col min="3" max="3" width="11.81640625" bestFit="1" customWidth="1"/>
  </cols>
  <sheetData>
    <row r="3" spans="1:20" ht="18.5" x14ac:dyDescent="0.45">
      <c r="A3" s="15" t="s">
        <v>579</v>
      </c>
      <c r="B3" t="s">
        <v>581</v>
      </c>
      <c r="C3" t="s">
        <v>583</v>
      </c>
      <c r="N3" s="20" t="s">
        <v>584</v>
      </c>
      <c r="O3" s="21"/>
      <c r="P3" s="21"/>
      <c r="Q3" s="21"/>
      <c r="R3" s="21"/>
      <c r="S3" s="21"/>
      <c r="T3" s="21"/>
    </row>
    <row r="4" spans="1:20" x14ac:dyDescent="0.35">
      <c r="A4" s="16" t="s">
        <v>575</v>
      </c>
      <c r="B4" s="19">
        <v>2.6491061312846249E-2</v>
      </c>
      <c r="C4" s="18">
        <v>7.4016599141910569E-2</v>
      </c>
    </row>
    <row r="5" spans="1:20" x14ac:dyDescent="0.35">
      <c r="A5" s="16" t="s">
        <v>573</v>
      </c>
      <c r="B5" s="19">
        <v>0.15453095253912988</v>
      </c>
      <c r="C5" s="18">
        <v>0.1857730620809353</v>
      </c>
    </row>
    <row r="6" spans="1:20" x14ac:dyDescent="0.35">
      <c r="A6" s="16" t="s">
        <v>577</v>
      </c>
      <c r="B6" s="19">
        <v>0.18201390229513104</v>
      </c>
      <c r="C6" s="18">
        <v>8.6841739464610504E-2</v>
      </c>
    </row>
    <row r="7" spans="1:20" x14ac:dyDescent="0.35">
      <c r="A7" s="16" t="s">
        <v>574</v>
      </c>
      <c r="B7" s="19">
        <v>4.0350628232985526E-2</v>
      </c>
      <c r="C7" s="18">
        <v>0.10413821866501628</v>
      </c>
    </row>
    <row r="8" spans="1:20" x14ac:dyDescent="0.35">
      <c r="A8" s="16" t="s">
        <v>578</v>
      </c>
      <c r="B8" s="19">
        <v>5.044327717827362E-2</v>
      </c>
      <c r="C8" s="18">
        <v>0.1081223449296544</v>
      </c>
    </row>
    <row r="9" spans="1:20" x14ac:dyDescent="0.35">
      <c r="A9" s="16" t="s">
        <v>576</v>
      </c>
      <c r="B9" s="19">
        <v>7.458079306180676E-2</v>
      </c>
      <c r="C9" s="18">
        <v>5.8172589755038702E-2</v>
      </c>
    </row>
    <row r="10" spans="1:20" x14ac:dyDescent="0.35">
      <c r="A10" s="16" t="s">
        <v>572</v>
      </c>
      <c r="B10" s="19">
        <v>0.1114180013960088</v>
      </c>
      <c r="C10" s="18">
        <v>9.6282691865003184E-2</v>
      </c>
    </row>
    <row r="11" spans="1:20" x14ac:dyDescent="0.35">
      <c r="A11" s="16" t="s">
        <v>571</v>
      </c>
      <c r="B11" s="19">
        <v>0.36017138398381826</v>
      </c>
      <c r="C11" s="18">
        <v>0.28665275409783109</v>
      </c>
    </row>
    <row r="12" spans="1:20" x14ac:dyDescent="0.35">
      <c r="A12" s="16" t="s">
        <v>580</v>
      </c>
      <c r="B12" s="19">
        <v>1</v>
      </c>
      <c r="C12" s="1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FE04A-8D64-43F4-BA0A-0D158316BCED}">
  <dimension ref="A1:C7"/>
  <sheetViews>
    <sheetView tabSelected="1" zoomScale="68" zoomScaleNormal="68" workbookViewId="0">
      <selection activeCell="G9" sqref="G9"/>
    </sheetView>
  </sheetViews>
  <sheetFormatPr defaultRowHeight="14.5" x14ac:dyDescent="0.35"/>
  <cols>
    <col min="1" max="1" width="13.6328125" bestFit="1" customWidth="1"/>
    <col min="2" max="2" width="11.36328125" bestFit="1" customWidth="1"/>
    <col min="3" max="3" width="15.7265625" bestFit="1" customWidth="1"/>
  </cols>
  <sheetData>
    <row r="1" spans="1:3" x14ac:dyDescent="0.35">
      <c r="A1" s="15" t="s">
        <v>570</v>
      </c>
      <c r="B1" t="s">
        <v>573</v>
      </c>
      <c r="C1" t="str">
        <f>"sales of :- "&amp;B1</f>
        <v>sales of :- Canada</v>
      </c>
    </row>
    <row r="3" spans="1:3" x14ac:dyDescent="0.35">
      <c r="A3" s="15" t="s">
        <v>579</v>
      </c>
      <c r="B3" t="s">
        <v>581</v>
      </c>
    </row>
    <row r="4" spans="1:3" x14ac:dyDescent="0.35">
      <c r="A4" s="16" t="s">
        <v>544</v>
      </c>
      <c r="B4" s="19">
        <v>0.13468061546162879</v>
      </c>
      <c r="C4" s="19">
        <f>1-B4</f>
        <v>0.86531938453837121</v>
      </c>
    </row>
    <row r="5" spans="1:3" x14ac:dyDescent="0.35">
      <c r="A5" s="16" t="s">
        <v>545</v>
      </c>
      <c r="B5" s="19">
        <v>0.774879880484588</v>
      </c>
      <c r="C5" s="19">
        <f t="shared" ref="C5:C6" si="0">1-B5</f>
        <v>0.225120119515412</v>
      </c>
    </row>
    <row r="6" spans="1:3" x14ac:dyDescent="0.35">
      <c r="A6" s="16" t="s">
        <v>546</v>
      </c>
      <c r="B6" s="19">
        <v>9.0439504053783218E-2</v>
      </c>
      <c r="C6" s="19">
        <f t="shared" si="0"/>
        <v>0.9095604959462168</v>
      </c>
    </row>
    <row r="7" spans="1:3" x14ac:dyDescent="0.35">
      <c r="A7" s="16" t="s">
        <v>580</v>
      </c>
      <c r="B7" s="1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DB28A-5275-4969-B453-37CC1D513A86}">
  <dimension ref="A1:C17"/>
  <sheetViews>
    <sheetView workbookViewId="0">
      <selection activeCell="E4" sqref="E4"/>
    </sheetView>
  </sheetViews>
  <sheetFormatPr defaultRowHeight="14.5" x14ac:dyDescent="0.35"/>
  <cols>
    <col min="1" max="1" width="14.1796875" bestFit="1" customWidth="1"/>
    <col min="2" max="2" width="16.453125" bestFit="1" customWidth="1"/>
    <col min="3" max="3" width="14.54296875" bestFit="1" customWidth="1"/>
  </cols>
  <sheetData>
    <row r="1" spans="1:3" x14ac:dyDescent="0.35">
      <c r="A1" s="15" t="s">
        <v>570</v>
      </c>
      <c r="B1" t="s">
        <v>587</v>
      </c>
    </row>
    <row r="3" spans="1:3" x14ac:dyDescent="0.35">
      <c r="A3" s="15" t="s">
        <v>579</v>
      </c>
      <c r="B3" t="s">
        <v>581</v>
      </c>
      <c r="C3" t="s">
        <v>582</v>
      </c>
    </row>
    <row r="4" spans="1:3" x14ac:dyDescent="0.35">
      <c r="A4" s="16" t="s">
        <v>541</v>
      </c>
      <c r="B4" s="18">
        <v>1</v>
      </c>
      <c r="C4" s="17">
        <v>118</v>
      </c>
    </row>
    <row r="5" spans="1:3" x14ac:dyDescent="0.35">
      <c r="A5" s="22" t="s">
        <v>559</v>
      </c>
      <c r="B5" s="18">
        <v>7.8263337291878246E-2</v>
      </c>
      <c r="C5" s="17">
        <v>2</v>
      </c>
    </row>
    <row r="6" spans="1:3" x14ac:dyDescent="0.35">
      <c r="A6" s="22" t="s">
        <v>557</v>
      </c>
      <c r="B6" s="18">
        <v>2.0829009844007151E-2</v>
      </c>
      <c r="C6" s="17">
        <v>19</v>
      </c>
    </row>
    <row r="7" spans="1:3" x14ac:dyDescent="0.35">
      <c r="A7" s="22" t="s">
        <v>554</v>
      </c>
      <c r="B7" s="18">
        <v>1.6152745423158931E-2</v>
      </c>
      <c r="C7" s="17">
        <v>8</v>
      </c>
    </row>
    <row r="8" spans="1:3" x14ac:dyDescent="0.35">
      <c r="A8" s="22" t="s">
        <v>556</v>
      </c>
      <c r="B8" s="18">
        <v>0.22625412560264505</v>
      </c>
      <c r="C8" s="17">
        <v>6</v>
      </c>
    </row>
    <row r="9" spans="1:3" x14ac:dyDescent="0.35">
      <c r="A9" s="22" t="s">
        <v>549</v>
      </c>
      <c r="B9" s="18">
        <v>1.1734470607763474E-2</v>
      </c>
      <c r="C9" s="17">
        <v>11</v>
      </c>
    </row>
    <row r="10" spans="1:3" x14ac:dyDescent="0.35">
      <c r="A10" s="22" t="s">
        <v>560</v>
      </c>
      <c r="B10" s="18">
        <v>1.2513307152526537E-3</v>
      </c>
      <c r="C10" s="17">
        <v>9</v>
      </c>
    </row>
    <row r="11" spans="1:3" x14ac:dyDescent="0.35">
      <c r="A11" s="22" t="s">
        <v>553</v>
      </c>
      <c r="B11" s="18">
        <v>2.8258785965819787E-3</v>
      </c>
      <c r="C11" s="17">
        <v>15</v>
      </c>
    </row>
    <row r="12" spans="1:3" x14ac:dyDescent="0.35">
      <c r="A12" s="22" t="s">
        <v>563</v>
      </c>
      <c r="B12" s="18">
        <v>2.1301179499269756E-3</v>
      </c>
      <c r="C12" s="17">
        <v>4</v>
      </c>
    </row>
    <row r="13" spans="1:3" x14ac:dyDescent="0.35">
      <c r="A13" s="22" t="s">
        <v>558</v>
      </c>
      <c r="B13" s="18">
        <v>1.5366445028175224E-2</v>
      </c>
      <c r="C13" s="17">
        <v>10</v>
      </c>
    </row>
    <row r="14" spans="1:3" x14ac:dyDescent="0.35">
      <c r="A14" s="22" t="s">
        <v>555</v>
      </c>
      <c r="B14" s="18">
        <v>0.15906860235672696</v>
      </c>
      <c r="C14" s="17">
        <v>20</v>
      </c>
    </row>
    <row r="15" spans="1:3" x14ac:dyDescent="0.35">
      <c r="A15" s="22" t="s">
        <v>552</v>
      </c>
      <c r="B15" s="18">
        <v>0.45027201677613915</v>
      </c>
      <c r="C15" s="17">
        <v>11</v>
      </c>
    </row>
    <row r="16" spans="1:3" x14ac:dyDescent="0.35">
      <c r="A16" s="22" t="s">
        <v>562</v>
      </c>
      <c r="B16" s="18">
        <v>1.58519198077442E-2</v>
      </c>
      <c r="C16" s="17">
        <v>3</v>
      </c>
    </row>
    <row r="17" spans="1:3" x14ac:dyDescent="0.35">
      <c r="A17" s="16" t="s">
        <v>580</v>
      </c>
      <c r="B17" s="18">
        <v>1</v>
      </c>
      <c r="C17" s="17">
        <v>118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49FAD-14D6-4FE2-9ABD-CAB204EDB824}">
  <dimension ref="A1:B17"/>
  <sheetViews>
    <sheetView workbookViewId="0">
      <selection activeCell="C4" sqref="C4"/>
    </sheetView>
  </sheetViews>
  <sheetFormatPr defaultRowHeight="14.5" x14ac:dyDescent="0.35"/>
  <cols>
    <col min="1" max="1" width="13.54296875" bestFit="1" customWidth="1"/>
    <col min="2" max="2" width="15.453125" bestFit="1" customWidth="1"/>
    <col min="3" max="3" width="17.1796875" bestFit="1" customWidth="1"/>
    <col min="4" max="4" width="7.08984375" bestFit="1" customWidth="1"/>
    <col min="5" max="5" width="9.54296875" bestFit="1" customWidth="1"/>
    <col min="6" max="6" width="6" bestFit="1" customWidth="1"/>
    <col min="7" max="7" width="9.26953125" bestFit="1" customWidth="1"/>
    <col min="8" max="8" width="8.90625" bestFit="1" customWidth="1"/>
    <col min="9" max="9" width="8.81640625" bestFit="1" customWidth="1"/>
    <col min="10" max="10" width="5.7265625" bestFit="1" customWidth="1"/>
    <col min="11" max="11" width="7" bestFit="1" customWidth="1"/>
    <col min="12" max="12" width="7.1796875" bestFit="1" customWidth="1"/>
    <col min="13" max="13" width="7.7265625" bestFit="1" customWidth="1"/>
    <col min="14" max="14" width="6.1796875" bestFit="1" customWidth="1"/>
    <col min="15" max="15" width="11.26953125" bestFit="1" customWidth="1"/>
    <col min="16" max="16" width="6.81640625" bestFit="1" customWidth="1"/>
    <col min="17" max="17" width="8.81640625" bestFit="1" customWidth="1"/>
    <col min="18" max="18" width="9.54296875" bestFit="1" customWidth="1"/>
    <col min="19" max="19" width="7.81640625" bestFit="1" customWidth="1"/>
    <col min="20" max="20" width="9.26953125" bestFit="1" customWidth="1"/>
    <col min="21" max="21" width="8.90625" bestFit="1" customWidth="1"/>
    <col min="22" max="22" width="8.81640625" bestFit="1" customWidth="1"/>
    <col min="23" max="23" width="7.81640625" bestFit="1" customWidth="1"/>
    <col min="24" max="24" width="7" bestFit="1" customWidth="1"/>
    <col min="25" max="25" width="8.81640625" bestFit="1" customWidth="1"/>
    <col min="26" max="26" width="7.81640625" bestFit="1" customWidth="1"/>
    <col min="27" max="27" width="6.1796875" bestFit="1" customWidth="1"/>
    <col min="28" max="28" width="19.36328125" bestFit="1" customWidth="1"/>
    <col min="29" max="29" width="16.08984375" bestFit="1" customWidth="1"/>
  </cols>
  <sheetData>
    <row r="1" spans="1:2" x14ac:dyDescent="0.35">
      <c r="A1" s="15" t="s">
        <v>570</v>
      </c>
      <c r="B1" t="s">
        <v>576</v>
      </c>
    </row>
    <row r="2" spans="1:2" x14ac:dyDescent="0.35">
      <c r="A2" s="15" t="s">
        <v>543</v>
      </c>
      <c r="B2" t="s">
        <v>545</v>
      </c>
    </row>
    <row r="4" spans="1:2" x14ac:dyDescent="0.35">
      <c r="A4" s="15" t="s">
        <v>579</v>
      </c>
      <c r="B4" t="s">
        <v>581</v>
      </c>
    </row>
    <row r="5" spans="1:2" x14ac:dyDescent="0.35">
      <c r="A5" s="16" t="s">
        <v>519</v>
      </c>
      <c r="B5" s="24">
        <v>77.349999999999994</v>
      </c>
    </row>
    <row r="6" spans="1:2" x14ac:dyDescent="0.35">
      <c r="A6" s="16" t="s">
        <v>504</v>
      </c>
      <c r="B6" s="24">
        <v>918.11999999999989</v>
      </c>
    </row>
    <row r="7" spans="1:2" x14ac:dyDescent="0.35">
      <c r="A7" s="16" t="s">
        <v>525</v>
      </c>
      <c r="B7" s="24">
        <v>801.5680000000001</v>
      </c>
    </row>
    <row r="8" spans="1:2" x14ac:dyDescent="0.35">
      <c r="A8" s="16" t="s">
        <v>532</v>
      </c>
      <c r="B8" s="24">
        <v>381.57600000000002</v>
      </c>
    </row>
    <row r="9" spans="1:2" x14ac:dyDescent="0.35">
      <c r="A9" s="16" t="s">
        <v>526</v>
      </c>
      <c r="B9" s="24">
        <v>1336.829</v>
      </c>
    </row>
    <row r="10" spans="1:2" x14ac:dyDescent="0.35">
      <c r="A10" s="16" t="s">
        <v>515</v>
      </c>
      <c r="B10" s="24">
        <v>97.696000000000012</v>
      </c>
    </row>
    <row r="11" spans="1:2" x14ac:dyDescent="0.35">
      <c r="A11" s="16" t="s">
        <v>514</v>
      </c>
      <c r="B11" s="24">
        <v>13.36</v>
      </c>
    </row>
    <row r="12" spans="1:2" x14ac:dyDescent="0.35">
      <c r="A12" s="16" t="s">
        <v>511</v>
      </c>
      <c r="B12" s="24">
        <v>7.16</v>
      </c>
    </row>
    <row r="13" spans="1:2" x14ac:dyDescent="0.35">
      <c r="A13" s="16" t="s">
        <v>533</v>
      </c>
      <c r="B13" s="24">
        <v>3.2820000000000005</v>
      </c>
    </row>
    <row r="14" spans="1:2" x14ac:dyDescent="0.35">
      <c r="A14" s="16" t="s">
        <v>518</v>
      </c>
      <c r="B14" s="24">
        <v>97.82</v>
      </c>
    </row>
    <row r="15" spans="1:2" x14ac:dyDescent="0.35">
      <c r="A15" s="16" t="s">
        <v>512</v>
      </c>
      <c r="B15" s="24">
        <v>7.3</v>
      </c>
    </row>
    <row r="16" spans="1:2" x14ac:dyDescent="0.35">
      <c r="A16" s="16" t="s">
        <v>508</v>
      </c>
      <c r="B16" s="24">
        <v>2743.6640000000002</v>
      </c>
    </row>
    <row r="17" spans="1:2" x14ac:dyDescent="0.35">
      <c r="A17" s="16" t="s">
        <v>580</v>
      </c>
      <c r="B17" s="24">
        <v>6485.7250000000004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C2BCF-73CE-4A1C-833C-CBF2AB3A8587}">
  <dimension ref="A3:B12"/>
  <sheetViews>
    <sheetView workbookViewId="0">
      <selection activeCell="F2" sqref="F2"/>
    </sheetView>
  </sheetViews>
  <sheetFormatPr defaultRowHeight="14.5" x14ac:dyDescent="0.35"/>
  <cols>
    <col min="1" max="1" width="14.1796875" bestFit="1" customWidth="1"/>
    <col min="2" max="2" width="11.81640625" bestFit="1" customWidth="1"/>
    <col min="3" max="3" width="9.81640625" bestFit="1" customWidth="1"/>
    <col min="4" max="4" width="9" customWidth="1"/>
    <col min="5" max="5" width="7.08984375" bestFit="1" customWidth="1"/>
    <col min="6" max="6" width="9.54296875" bestFit="1" customWidth="1"/>
    <col min="7" max="7" width="6" bestFit="1" customWidth="1"/>
    <col min="8" max="8" width="7.08984375" bestFit="1" customWidth="1"/>
    <col min="9" max="9" width="9.26953125" bestFit="1" customWidth="1"/>
    <col min="10" max="10" width="8.90625" bestFit="1" customWidth="1"/>
    <col min="11" max="11" width="10.26953125" bestFit="1" customWidth="1"/>
    <col min="12" max="12" width="6" bestFit="1" customWidth="1"/>
    <col min="13" max="13" width="8.81640625" bestFit="1" customWidth="1"/>
    <col min="14" max="14" width="5.7265625" bestFit="1" customWidth="1"/>
    <col min="15" max="15" width="7" bestFit="1" customWidth="1"/>
    <col min="16" max="16" width="7.1796875" bestFit="1" customWidth="1"/>
    <col min="17" max="17" width="7.7265625" bestFit="1" customWidth="1"/>
    <col min="18" max="18" width="6.1796875" bestFit="1" customWidth="1"/>
    <col min="19" max="19" width="10.7265625" bestFit="1" customWidth="1"/>
    <col min="20" max="20" width="7.08984375" bestFit="1" customWidth="1"/>
    <col min="21" max="21" width="10.08984375" bestFit="1" customWidth="1"/>
    <col min="22" max="22" width="11" bestFit="1" customWidth="1"/>
    <col min="23" max="23" width="8.81640625" bestFit="1" customWidth="1"/>
    <col min="24" max="24" width="13.1796875" bestFit="1" customWidth="1"/>
    <col min="25" max="25" width="4.81640625" bestFit="1" customWidth="1"/>
    <col min="26" max="26" width="9.453125" bestFit="1" customWidth="1"/>
    <col min="27" max="27" width="7" bestFit="1" customWidth="1"/>
    <col min="28" max="28" width="11.7265625" bestFit="1" customWidth="1"/>
    <col min="29" max="29" width="11.6328125" bestFit="1" customWidth="1"/>
    <col min="30" max="30" width="13.1796875" bestFit="1" customWidth="1"/>
    <col min="31" max="31" width="9.6328125" bestFit="1" customWidth="1"/>
    <col min="32" max="32" width="5.54296875" bestFit="1" customWidth="1"/>
    <col min="33" max="33" width="4.90625" bestFit="1" customWidth="1"/>
    <col min="34" max="34" width="7.08984375" bestFit="1" customWidth="1"/>
    <col min="35" max="35" width="10.90625" bestFit="1" customWidth="1"/>
    <col min="36" max="36" width="9.26953125" bestFit="1" customWidth="1"/>
    <col min="37" max="37" width="10.7265625" bestFit="1" customWidth="1"/>
    <col min="38" max="38" width="8" bestFit="1" customWidth="1"/>
    <col min="39" max="39" width="6.54296875" bestFit="1" customWidth="1"/>
    <col min="40" max="40" width="11.26953125" bestFit="1" customWidth="1"/>
    <col min="41" max="41" width="9.1796875" bestFit="1" customWidth="1"/>
    <col min="42" max="42" width="12" bestFit="1" customWidth="1"/>
    <col min="43" max="43" width="11.54296875" bestFit="1" customWidth="1"/>
    <col min="44" max="44" width="7.26953125" bestFit="1" customWidth="1"/>
    <col min="45" max="45" width="7.453125" bestFit="1" customWidth="1"/>
    <col min="46" max="46" width="9.1796875" bestFit="1" customWidth="1"/>
    <col min="47" max="47" width="10.81640625" bestFit="1" customWidth="1"/>
    <col min="48" max="48" width="6.1796875" bestFit="1" customWidth="1"/>
    <col min="49" max="49" width="6.54296875" bestFit="1" customWidth="1"/>
    <col min="50" max="50" width="10.90625" bestFit="1" customWidth="1"/>
    <col min="51" max="51" width="10.7265625" bestFit="1" customWidth="1"/>
    <col min="52" max="52" width="11.81640625" bestFit="1" customWidth="1"/>
    <col min="53" max="53" width="9.54296875" bestFit="1" customWidth="1"/>
    <col min="54" max="54" width="9.6328125" bestFit="1" customWidth="1"/>
    <col min="55" max="55" width="10.36328125" bestFit="1" customWidth="1"/>
    <col min="56" max="56" width="13.36328125" bestFit="1" customWidth="1"/>
    <col min="57" max="57" width="10.453125" bestFit="1" customWidth="1"/>
    <col min="58" max="58" width="13.453125" bestFit="1" customWidth="1"/>
    <col min="59" max="59" width="15.1796875" bestFit="1" customWidth="1"/>
    <col min="60" max="60" width="6.08984375" bestFit="1" customWidth="1"/>
    <col min="61" max="61" width="18.1796875" bestFit="1" customWidth="1"/>
    <col min="62" max="62" width="10.1796875" bestFit="1" customWidth="1"/>
    <col min="63" max="63" width="7.26953125" bestFit="1" customWidth="1"/>
    <col min="64" max="64" width="7.6328125" bestFit="1" customWidth="1"/>
    <col min="65" max="65" width="6" bestFit="1" customWidth="1"/>
    <col min="66" max="66" width="8.81640625" bestFit="1" customWidth="1"/>
    <col min="67" max="67" width="13.1796875" bestFit="1" customWidth="1"/>
    <col min="68" max="68" width="11.6328125" bestFit="1" customWidth="1"/>
    <col min="69" max="69" width="7.90625" bestFit="1" customWidth="1"/>
    <col min="70" max="70" width="11.08984375" bestFit="1" customWidth="1"/>
    <col min="71" max="71" width="9.1796875" bestFit="1" customWidth="1"/>
    <col min="72" max="72" width="9.08984375" bestFit="1" customWidth="1"/>
    <col min="73" max="73" width="14.6328125" bestFit="1" customWidth="1"/>
    <col min="74" max="75" width="12.7265625" bestFit="1" customWidth="1"/>
    <col min="76" max="76" width="10.54296875" bestFit="1" customWidth="1"/>
    <col min="77" max="77" width="13.54296875" bestFit="1" customWidth="1"/>
    <col min="78" max="78" width="8.90625" bestFit="1" customWidth="1"/>
    <col min="79" max="79" width="11.81640625" bestFit="1" customWidth="1"/>
    <col min="80" max="80" width="11.90625" bestFit="1" customWidth="1"/>
    <col min="81" max="81" width="10.6328125" bestFit="1" customWidth="1"/>
    <col min="82" max="82" width="9.36328125" bestFit="1" customWidth="1"/>
    <col min="83" max="83" width="10.7265625" bestFit="1" customWidth="1"/>
    <col min="84" max="84" width="8.81640625" bestFit="1" customWidth="1"/>
    <col min="85" max="85" width="14.90625" bestFit="1" customWidth="1"/>
    <col min="86" max="86" width="12.81640625" bestFit="1" customWidth="1"/>
    <col min="87" max="87" width="15.81640625" bestFit="1" customWidth="1"/>
    <col min="88" max="88" width="12.453125" bestFit="1" customWidth="1"/>
    <col min="89" max="89" width="4.54296875" bestFit="1" customWidth="1"/>
    <col min="90" max="90" width="13.6328125" bestFit="1" customWidth="1"/>
    <col min="91" max="91" width="15" bestFit="1" customWidth="1"/>
    <col min="92" max="92" width="8.7265625" bestFit="1" customWidth="1"/>
    <col min="93" max="93" width="7.81640625" bestFit="1" customWidth="1"/>
    <col min="94" max="94" width="7.6328125" bestFit="1" customWidth="1"/>
    <col min="95" max="95" width="18" bestFit="1" customWidth="1"/>
    <col min="96" max="96" width="6.6328125" bestFit="1" customWidth="1"/>
    <col min="97" max="97" width="9.08984375" bestFit="1" customWidth="1"/>
    <col min="98" max="98" width="9.1796875" bestFit="1" customWidth="1"/>
    <col min="99" max="99" width="6.26953125" bestFit="1" customWidth="1"/>
    <col min="100" max="100" width="8.54296875" bestFit="1" customWidth="1"/>
    <col min="101" max="101" width="7.1796875" bestFit="1" customWidth="1"/>
    <col min="102" max="102" width="7.26953125" bestFit="1" customWidth="1"/>
    <col min="103" max="103" width="9.54296875" bestFit="1" customWidth="1"/>
    <col min="104" max="104" width="11.26953125" bestFit="1" customWidth="1"/>
    <col min="105" max="105" width="14.26953125" bestFit="1" customWidth="1"/>
    <col min="106" max="106" width="8.81640625" bestFit="1" customWidth="1"/>
    <col min="107" max="107" width="11.7265625" bestFit="1" customWidth="1"/>
    <col min="108" max="108" width="13.54296875" bestFit="1" customWidth="1"/>
    <col min="109" max="109" width="16.54296875" bestFit="1" customWidth="1"/>
    <col min="110" max="110" width="13.453125" bestFit="1" customWidth="1"/>
    <col min="111" max="111" width="16.453125" bestFit="1" customWidth="1"/>
    <col min="112" max="112" width="15" bestFit="1" customWidth="1"/>
    <col min="113" max="113" width="18" bestFit="1" customWidth="1"/>
    <col min="114" max="114" width="11.453125" bestFit="1" customWidth="1"/>
    <col min="115" max="115" width="8.7265625" bestFit="1" customWidth="1"/>
    <col min="116" max="116" width="7.54296875" bestFit="1" customWidth="1"/>
    <col min="117" max="117" width="8.6328125" bestFit="1" customWidth="1"/>
    <col min="118" max="118" width="12.54296875" bestFit="1" customWidth="1"/>
    <col min="119" max="119" width="14.453125" bestFit="1" customWidth="1"/>
    <col min="120" max="120" width="7.36328125" bestFit="1" customWidth="1"/>
    <col min="121" max="121" width="5.81640625" bestFit="1" customWidth="1"/>
    <col min="122" max="122" width="10.1796875" bestFit="1" customWidth="1"/>
    <col min="123" max="123" width="11.90625" bestFit="1" customWidth="1"/>
    <col min="124" max="124" width="8.81640625" bestFit="1" customWidth="1"/>
    <col min="125" max="125" width="8" bestFit="1" customWidth="1"/>
    <col min="126" max="126" width="8.90625" bestFit="1" customWidth="1"/>
    <col min="127" max="127" width="10.08984375" bestFit="1" customWidth="1"/>
    <col min="128" max="128" width="11" bestFit="1" customWidth="1"/>
    <col min="129" max="129" width="10.26953125" bestFit="1" customWidth="1"/>
    <col min="130" max="130" width="6.7265625" bestFit="1" customWidth="1"/>
    <col min="131" max="131" width="5.54296875" bestFit="1" customWidth="1"/>
    <col min="132" max="132" width="11.26953125" bestFit="1" customWidth="1"/>
    <col min="133" max="133" width="9.6328125" bestFit="1" customWidth="1"/>
    <col min="134" max="134" width="8.90625" bestFit="1" customWidth="1"/>
    <col min="135" max="135" width="9.6328125" bestFit="1" customWidth="1"/>
    <col min="136" max="136" width="11.81640625" bestFit="1" customWidth="1"/>
    <col min="137" max="137" width="12.7265625" bestFit="1" customWidth="1"/>
    <col min="138" max="138" width="6.6328125" bestFit="1" customWidth="1"/>
    <col min="139" max="139" width="15.7265625" bestFit="1" customWidth="1"/>
    <col min="140" max="140" width="11.08984375" bestFit="1" customWidth="1"/>
    <col min="141" max="141" width="8.08984375" bestFit="1" customWidth="1"/>
    <col min="142" max="142" width="14.08984375" bestFit="1" customWidth="1"/>
    <col min="143" max="143" width="10.7265625" bestFit="1" customWidth="1"/>
    <col min="144" max="144" width="11.08984375" bestFit="1" customWidth="1"/>
    <col min="145" max="145" width="10.26953125" bestFit="1" customWidth="1"/>
    <col min="146" max="146" width="13" bestFit="1" customWidth="1"/>
    <col min="147" max="147" width="10.6328125" bestFit="1" customWidth="1"/>
    <col min="148" max="148" width="10.453125" bestFit="1" customWidth="1"/>
    <col min="149" max="149" width="8.08984375" bestFit="1" customWidth="1"/>
    <col min="150" max="150" width="12" bestFit="1" customWidth="1"/>
    <col min="151" max="151" width="7.81640625" bestFit="1" customWidth="1"/>
    <col min="152" max="152" width="13.6328125" bestFit="1" customWidth="1"/>
    <col min="153" max="153" width="14.08984375" bestFit="1" customWidth="1"/>
    <col min="154" max="154" width="11.26953125" bestFit="1" customWidth="1"/>
    <col min="155" max="155" width="10.81640625" bestFit="1" customWidth="1"/>
    <col min="156" max="156" width="10.90625" bestFit="1" customWidth="1"/>
    <col min="157" max="157" width="10.7265625" bestFit="1" customWidth="1"/>
    <col min="158" max="158" width="11.81640625" bestFit="1" customWidth="1"/>
    <col min="159" max="159" width="10.453125" bestFit="1" customWidth="1"/>
    <col min="160" max="160" width="13.453125" bestFit="1" customWidth="1"/>
    <col min="161" max="161" width="11.6328125" bestFit="1" customWidth="1"/>
    <col min="162" max="162" width="11.08984375" bestFit="1" customWidth="1"/>
    <col min="163" max="163" width="14.6328125" bestFit="1" customWidth="1"/>
    <col min="164" max="164" width="8.90625" bestFit="1" customWidth="1"/>
    <col min="165" max="165" width="11.81640625" bestFit="1" customWidth="1"/>
    <col min="166" max="166" width="12.453125" bestFit="1" customWidth="1"/>
    <col min="167" max="167" width="13.6328125" bestFit="1" customWidth="1"/>
    <col min="168" max="168" width="9.1796875" bestFit="1" customWidth="1"/>
    <col min="169" max="169" width="7.1796875" bestFit="1" customWidth="1"/>
    <col min="170" max="170" width="9.54296875" bestFit="1" customWidth="1"/>
    <col min="171" max="171" width="13.54296875" bestFit="1" customWidth="1"/>
    <col min="172" max="172" width="16.54296875" bestFit="1" customWidth="1"/>
    <col min="173" max="173" width="11.453125" bestFit="1" customWidth="1"/>
    <col min="174" max="174" width="14.453125" bestFit="1" customWidth="1"/>
    <col min="175" max="175" width="8" bestFit="1" customWidth="1"/>
    <col min="176" max="176" width="11" bestFit="1" customWidth="1"/>
    <col min="177" max="177" width="10.26953125" bestFit="1" customWidth="1"/>
    <col min="178" max="178" width="13.26953125" bestFit="1" customWidth="1"/>
    <col min="179" max="179" width="10.6328125" bestFit="1" customWidth="1"/>
    <col min="180" max="180" width="9" bestFit="1" customWidth="1"/>
    <col min="181" max="181" width="10.26953125" bestFit="1" customWidth="1"/>
    <col min="182" max="182" width="13.6328125" bestFit="1" customWidth="1"/>
    <col min="183" max="183" width="10.26953125" bestFit="1" customWidth="1"/>
    <col min="184" max="184" width="15" bestFit="1" customWidth="1"/>
    <col min="185" max="185" width="13.26953125" bestFit="1" customWidth="1"/>
    <col min="186" max="186" width="8" bestFit="1" customWidth="1"/>
    <col min="187" max="187" width="9.1796875" bestFit="1" customWidth="1"/>
    <col min="188" max="188" width="10.90625" bestFit="1" customWidth="1"/>
    <col min="189" max="189" width="10.1796875" bestFit="1" customWidth="1"/>
    <col min="190" max="190" width="7.6328125" bestFit="1" customWidth="1"/>
    <col min="191" max="191" width="13.1796875" bestFit="1" customWidth="1"/>
    <col min="192" max="192" width="11.6328125" bestFit="1" customWidth="1"/>
    <col min="193" max="193" width="14.6328125" bestFit="1" customWidth="1"/>
    <col min="194" max="194" width="12.453125" bestFit="1" customWidth="1"/>
    <col min="195" max="195" width="4.54296875" bestFit="1" customWidth="1"/>
    <col min="196" max="196" width="13.6328125" bestFit="1" customWidth="1"/>
    <col min="197" max="197" width="15" bestFit="1" customWidth="1"/>
    <col min="198" max="198" width="18" bestFit="1" customWidth="1"/>
    <col min="199" max="199" width="9.1796875" bestFit="1" customWidth="1"/>
    <col min="200" max="200" width="6.26953125" bestFit="1" customWidth="1"/>
    <col min="201" max="201" width="7.26953125" bestFit="1" customWidth="1"/>
    <col min="202" max="202" width="9.54296875" bestFit="1" customWidth="1"/>
    <col min="203" max="203" width="13.54296875" bestFit="1" customWidth="1"/>
    <col min="204" max="204" width="16.54296875" bestFit="1" customWidth="1"/>
    <col min="205" max="205" width="8.81640625" bestFit="1" customWidth="1"/>
    <col min="206" max="206" width="8" bestFit="1" customWidth="1"/>
    <col min="207" max="207" width="10.26953125" bestFit="1" customWidth="1"/>
    <col min="208" max="208" width="9.7265625" bestFit="1" customWidth="1"/>
    <col min="209" max="209" width="13.453125" bestFit="1" customWidth="1"/>
    <col min="210" max="210" width="7.54296875" bestFit="1" customWidth="1"/>
    <col min="211" max="211" width="11.90625" bestFit="1" customWidth="1"/>
    <col min="212" max="212" width="10.6328125" bestFit="1" customWidth="1"/>
    <col min="213" max="213" width="10.453125" bestFit="1" customWidth="1"/>
    <col min="214" max="214" width="12" bestFit="1" customWidth="1"/>
    <col min="215" max="215" width="13.6328125" bestFit="1" customWidth="1"/>
    <col min="216" max="216" width="10.26953125" bestFit="1" customWidth="1"/>
    <col min="217" max="217" width="13.26953125" bestFit="1" customWidth="1"/>
    <col min="218" max="218" width="12.6328125" bestFit="1" customWidth="1"/>
    <col min="219" max="219" width="15.6328125" bestFit="1" customWidth="1"/>
    <col min="220" max="220" width="8.36328125" bestFit="1" customWidth="1"/>
    <col min="221" max="221" width="11.26953125" bestFit="1" customWidth="1"/>
    <col min="222" max="222" width="10.7265625" bestFit="1" customWidth="1"/>
    <col min="223" max="223" width="11.81640625" bestFit="1" customWidth="1"/>
    <col min="224" max="224" width="9.54296875" bestFit="1" customWidth="1"/>
    <col min="225" max="225" width="9.6328125" bestFit="1" customWidth="1"/>
    <col min="226" max="226" width="10.1796875" bestFit="1" customWidth="1"/>
    <col min="227" max="227" width="13.1796875" bestFit="1" customWidth="1"/>
    <col min="228" max="228" width="11.6328125" bestFit="1" customWidth="1"/>
    <col min="229" max="229" width="14.6328125" bestFit="1" customWidth="1"/>
    <col min="230" max="230" width="10.54296875" bestFit="1" customWidth="1"/>
    <col min="231" max="231" width="13.54296875" bestFit="1" customWidth="1"/>
    <col min="232" max="232" width="11.90625" bestFit="1" customWidth="1"/>
    <col min="233" max="233" width="14.90625" bestFit="1" customWidth="1"/>
    <col min="234" max="234" width="12.453125" bestFit="1" customWidth="1"/>
    <col min="235" max="235" width="13.6328125" bestFit="1" customWidth="1"/>
    <col min="236" max="236" width="9.1796875" bestFit="1" customWidth="1"/>
    <col min="237" max="237" width="9.54296875" bestFit="1" customWidth="1"/>
    <col min="238" max="238" width="13.54296875" bestFit="1" customWidth="1"/>
    <col min="239" max="239" width="16.54296875" bestFit="1" customWidth="1"/>
    <col min="240" max="240" width="11.90625" bestFit="1" customWidth="1"/>
    <col min="241" max="241" width="8" bestFit="1" customWidth="1"/>
    <col min="242" max="242" width="10.26953125" bestFit="1" customWidth="1"/>
    <col min="243" max="243" width="12.7265625" bestFit="1" customWidth="1"/>
    <col min="244" max="244" width="15.7265625" bestFit="1" customWidth="1"/>
    <col min="245" max="245" width="16.453125" bestFit="1" customWidth="1"/>
    <col min="246" max="246" width="16.1796875" bestFit="1" customWidth="1"/>
    <col min="247" max="247" width="6.7265625" bestFit="1" customWidth="1"/>
    <col min="248" max="248" width="11.90625" bestFit="1" customWidth="1"/>
    <col min="249" max="249" width="10.6328125" bestFit="1" customWidth="1"/>
    <col min="250" max="250" width="8.08984375" bestFit="1" customWidth="1"/>
    <col min="251" max="251" width="12" bestFit="1" customWidth="1"/>
    <col min="252" max="252" width="13.6328125" bestFit="1" customWidth="1"/>
    <col min="253" max="253" width="10.26953125" bestFit="1" customWidth="1"/>
    <col min="254" max="254" width="13.26953125" bestFit="1" customWidth="1"/>
    <col min="255" max="255" width="10.54296875" bestFit="1" customWidth="1"/>
    <col min="256" max="256" width="13.54296875" bestFit="1" customWidth="1"/>
    <col min="257" max="257" width="10.08984375" bestFit="1" customWidth="1"/>
    <col min="258" max="258" width="8" bestFit="1" customWidth="1"/>
    <col min="259" max="259" width="11.26953125" bestFit="1" customWidth="1"/>
    <col min="260" max="260" width="8" bestFit="1" customWidth="1"/>
    <col min="261" max="261" width="7.453125" bestFit="1" customWidth="1"/>
    <col min="262" max="262" width="6.54296875" bestFit="1" customWidth="1"/>
    <col min="263" max="263" width="10.90625" bestFit="1" customWidth="1"/>
    <col min="264" max="264" width="10.36328125" bestFit="1" customWidth="1"/>
    <col min="265" max="265" width="13.36328125" bestFit="1" customWidth="1"/>
    <col min="266" max="266" width="15.1796875" bestFit="1" customWidth="1"/>
    <col min="267" max="267" width="18.1796875" bestFit="1" customWidth="1"/>
    <col min="268" max="268" width="10.1796875" bestFit="1" customWidth="1"/>
    <col min="269" max="269" width="7.6328125" bestFit="1" customWidth="1"/>
    <col min="270" max="270" width="8.81640625" bestFit="1" customWidth="1"/>
    <col min="271" max="271" width="13.1796875" bestFit="1" customWidth="1"/>
    <col min="272" max="272" width="11.90625" bestFit="1" customWidth="1"/>
    <col min="273" max="273" width="10.6328125" bestFit="1" customWidth="1"/>
    <col min="274" max="274" width="14.90625" bestFit="1" customWidth="1"/>
    <col min="275" max="275" width="12.453125" bestFit="1" customWidth="1"/>
    <col min="276" max="276" width="4.54296875" bestFit="1" customWidth="1"/>
    <col min="277" max="277" width="13.6328125" bestFit="1" customWidth="1"/>
    <col min="278" max="278" width="15" bestFit="1" customWidth="1"/>
    <col min="279" max="279" width="18" bestFit="1" customWidth="1"/>
    <col min="280" max="280" width="9.08984375" bestFit="1" customWidth="1"/>
    <col min="281" max="281" width="6.26953125" bestFit="1" customWidth="1"/>
    <col min="282" max="282" width="8.54296875" bestFit="1" customWidth="1"/>
    <col min="283" max="283" width="7.26953125" bestFit="1" customWidth="1"/>
    <col min="284" max="284" width="9.54296875" bestFit="1" customWidth="1"/>
    <col min="285" max="285" width="8.81640625" bestFit="1" customWidth="1"/>
    <col min="286" max="286" width="11.7265625" bestFit="1" customWidth="1"/>
    <col min="287" max="287" width="13.54296875" bestFit="1" customWidth="1"/>
    <col min="288" max="288" width="16.54296875" bestFit="1" customWidth="1"/>
    <col min="289" max="289" width="11.453125" bestFit="1" customWidth="1"/>
    <col min="290" max="290" width="8.6328125" bestFit="1" customWidth="1"/>
    <col min="291" max="291" width="14.453125" bestFit="1" customWidth="1"/>
    <col min="292" max="292" width="7.36328125" bestFit="1" customWidth="1"/>
    <col min="293" max="293" width="8" bestFit="1" customWidth="1"/>
    <col min="294" max="294" width="11" bestFit="1" customWidth="1"/>
    <col min="295" max="295" width="10.26953125" bestFit="1" customWidth="1"/>
    <col min="296" max="296" width="12.7265625" bestFit="1" customWidth="1"/>
    <col min="297" max="297" width="6.6328125" bestFit="1" customWidth="1"/>
    <col min="298" max="298" width="15.7265625" bestFit="1" customWidth="1"/>
    <col min="299" max="299" width="11.08984375" bestFit="1" customWidth="1"/>
    <col min="300" max="300" width="8.08984375" bestFit="1" customWidth="1"/>
    <col min="301" max="301" width="14.08984375" bestFit="1" customWidth="1"/>
    <col min="302" max="302" width="19.1796875" bestFit="1" customWidth="1"/>
    <col min="303" max="303" width="13.90625" bestFit="1" customWidth="1"/>
    <col min="304" max="304" width="13" bestFit="1" customWidth="1"/>
    <col min="305" max="305" width="9.453125" bestFit="1" customWidth="1"/>
    <col min="306" max="306" width="6.7265625" bestFit="1" customWidth="1"/>
    <col min="307" max="307" width="11.90625" bestFit="1" customWidth="1"/>
    <col min="308" max="308" width="10.6328125" bestFit="1" customWidth="1"/>
    <col min="309" max="309" width="9.54296875" bestFit="1" customWidth="1"/>
    <col min="310" max="310" width="10.453125" bestFit="1" customWidth="1"/>
    <col min="311" max="311" width="8.90625" bestFit="1" customWidth="1"/>
    <col min="312" max="312" width="8.453125" bestFit="1" customWidth="1"/>
    <col min="313" max="313" width="8.08984375" bestFit="1" customWidth="1"/>
    <col min="314" max="314" width="9" bestFit="1" customWidth="1"/>
    <col min="315" max="315" width="12" bestFit="1" customWidth="1"/>
    <col min="316" max="317" width="7.81640625" bestFit="1" customWidth="1"/>
    <col min="318" max="318" width="13.6328125" bestFit="1" customWidth="1"/>
    <col min="319" max="319" width="10.26953125" bestFit="1" customWidth="1"/>
    <col min="320" max="320" width="6.6328125" bestFit="1" customWidth="1"/>
    <col min="321" max="321" width="15" bestFit="1" customWidth="1"/>
    <col min="322" max="322" width="13.26953125" bestFit="1" customWidth="1"/>
    <col min="323" max="323" width="12.6328125" bestFit="1" customWidth="1"/>
    <col min="324" max="324" width="15.6328125" bestFit="1" customWidth="1"/>
    <col min="325" max="326" width="10.54296875" bestFit="1" customWidth="1"/>
    <col min="327" max="327" width="13.54296875" bestFit="1" customWidth="1"/>
    <col min="328" max="328" width="14.453125" bestFit="1" customWidth="1"/>
    <col min="329" max="329" width="14.7265625" bestFit="1" customWidth="1"/>
    <col min="330" max="330" width="8" bestFit="1" customWidth="1"/>
    <col min="331" max="331" width="6.54296875" bestFit="1" customWidth="1"/>
    <col min="332" max="332" width="11.26953125" bestFit="1" customWidth="1"/>
    <col min="333" max="333" width="9.1796875" bestFit="1" customWidth="1"/>
    <col min="334" max="334" width="12" bestFit="1" customWidth="1"/>
    <col min="335" max="335" width="11.54296875" bestFit="1" customWidth="1"/>
    <col min="336" max="336" width="7.26953125" bestFit="1" customWidth="1"/>
    <col min="337" max="337" width="7.453125" bestFit="1" customWidth="1"/>
    <col min="338" max="338" width="10.90625" bestFit="1" customWidth="1"/>
    <col min="339" max="339" width="10.7265625" bestFit="1" customWidth="1"/>
    <col min="340" max="340" width="11.81640625" bestFit="1" customWidth="1"/>
    <col min="341" max="341" width="10.36328125" bestFit="1" customWidth="1"/>
    <col min="342" max="342" width="13.36328125" bestFit="1" customWidth="1"/>
    <col min="343" max="343" width="10.453125" bestFit="1" customWidth="1"/>
    <col min="344" max="344" width="13.453125" bestFit="1" customWidth="1"/>
    <col min="345" max="345" width="15.1796875" bestFit="1" customWidth="1"/>
    <col min="346" max="346" width="6.08984375" bestFit="1" customWidth="1"/>
    <col min="347" max="347" width="18.1796875" bestFit="1" customWidth="1"/>
    <col min="348" max="348" width="10.1796875" bestFit="1" customWidth="1"/>
    <col min="349" max="349" width="7.6328125" bestFit="1" customWidth="1"/>
    <col min="350" max="350" width="6" bestFit="1" customWidth="1"/>
    <col min="351" max="351" width="13.1796875" bestFit="1" customWidth="1"/>
    <col min="352" max="352" width="11.6328125" bestFit="1" customWidth="1"/>
    <col min="353" max="353" width="7.90625" bestFit="1" customWidth="1"/>
    <col min="354" max="354" width="11.08984375" bestFit="1" customWidth="1"/>
    <col min="355" max="355" width="14.6328125" bestFit="1" customWidth="1"/>
    <col min="356" max="356" width="11.90625" bestFit="1" customWidth="1"/>
    <col min="357" max="357" width="8.81640625" bestFit="1" customWidth="1"/>
    <col min="358" max="358" width="14.90625" bestFit="1" customWidth="1"/>
    <col min="359" max="359" width="12.453125" bestFit="1" customWidth="1"/>
    <col min="360" max="360" width="4.54296875" bestFit="1" customWidth="1"/>
    <col min="361" max="361" width="13.6328125" bestFit="1" customWidth="1"/>
    <col min="362" max="362" width="15" bestFit="1" customWidth="1"/>
    <col min="363" max="363" width="18" bestFit="1" customWidth="1"/>
    <col min="364" max="364" width="6.6328125" bestFit="1" customWidth="1"/>
    <col min="365" max="365" width="9.08984375" bestFit="1" customWidth="1"/>
    <col min="366" max="366" width="9.1796875" bestFit="1" customWidth="1"/>
    <col min="367" max="367" width="6.26953125" bestFit="1" customWidth="1"/>
    <col min="368" max="368" width="8.54296875" bestFit="1" customWidth="1"/>
    <col min="369" max="369" width="7.1796875" bestFit="1" customWidth="1"/>
    <col min="370" max="370" width="9.54296875" bestFit="1" customWidth="1"/>
    <col min="371" max="371" width="8.81640625" bestFit="1" customWidth="1"/>
    <col min="372" max="372" width="11.7265625" bestFit="1" customWidth="1"/>
    <col min="373" max="373" width="13.54296875" bestFit="1" customWidth="1"/>
    <col min="374" max="374" width="16.54296875" bestFit="1" customWidth="1"/>
    <col min="375" max="375" width="13.453125" bestFit="1" customWidth="1"/>
    <col min="376" max="376" width="16.453125" bestFit="1" customWidth="1"/>
    <col min="377" max="377" width="15" bestFit="1" customWidth="1"/>
    <col min="378" max="378" width="18" bestFit="1" customWidth="1"/>
    <col min="379" max="379" width="11.453125" bestFit="1" customWidth="1"/>
    <col min="380" max="380" width="12.54296875" bestFit="1" customWidth="1"/>
    <col min="381" max="381" width="14.453125" bestFit="1" customWidth="1"/>
    <col min="382" max="382" width="7.36328125" bestFit="1" customWidth="1"/>
    <col min="383" max="383" width="10.1796875" bestFit="1" customWidth="1"/>
    <col min="384" max="384" width="8.81640625" bestFit="1" customWidth="1"/>
    <col min="385" max="385" width="8" bestFit="1" customWidth="1"/>
    <col min="386" max="386" width="10.08984375" bestFit="1" customWidth="1"/>
    <col min="387" max="387" width="11" bestFit="1" customWidth="1"/>
    <col min="388" max="388" width="10.26953125" bestFit="1" customWidth="1"/>
    <col min="389" max="389" width="11.26953125" bestFit="1" customWidth="1"/>
    <col min="390" max="390" width="9.6328125" bestFit="1" customWidth="1"/>
    <col min="391" max="391" width="12.7265625" bestFit="1" customWidth="1"/>
    <col min="392" max="392" width="15.7265625" bestFit="1" customWidth="1"/>
    <col min="393" max="393" width="11.08984375" bestFit="1" customWidth="1"/>
    <col min="394" max="394" width="14.08984375" bestFit="1" customWidth="1"/>
    <col min="395" max="395" width="17" bestFit="1" customWidth="1"/>
    <col min="396" max="396" width="10.7265625" bestFit="1" customWidth="1"/>
  </cols>
  <sheetData>
    <row r="3" spans="1:2" x14ac:dyDescent="0.35">
      <c r="A3" s="15" t="s">
        <v>579</v>
      </c>
      <c r="B3" t="s">
        <v>583</v>
      </c>
    </row>
    <row r="4" spans="1:2" x14ac:dyDescent="0.35">
      <c r="A4" s="16" t="s">
        <v>571</v>
      </c>
      <c r="B4" s="25">
        <v>26576.588</v>
      </c>
    </row>
    <row r="5" spans="1:2" x14ac:dyDescent="0.35">
      <c r="A5" s="16" t="s">
        <v>573</v>
      </c>
      <c r="B5" s="25">
        <v>17223.675900000002</v>
      </c>
    </row>
    <row r="6" spans="1:2" x14ac:dyDescent="0.35">
      <c r="A6" s="16" t="s">
        <v>578</v>
      </c>
      <c r="B6" s="25">
        <v>10024.403999999999</v>
      </c>
    </row>
    <row r="7" spans="1:2" x14ac:dyDescent="0.35">
      <c r="A7" s="16" t="s">
        <v>574</v>
      </c>
      <c r="B7" s="25">
        <v>9655.0216</v>
      </c>
    </row>
    <row r="8" spans="1:2" x14ac:dyDescent="0.35">
      <c r="A8" s="16" t="s">
        <v>572</v>
      </c>
      <c r="B8" s="25">
        <v>8926.7079999999987</v>
      </c>
    </row>
    <row r="9" spans="1:2" x14ac:dyDescent="0.35">
      <c r="A9" s="16" t="s">
        <v>577</v>
      </c>
      <c r="B9" s="25">
        <v>8051.4040000000005</v>
      </c>
    </row>
    <row r="10" spans="1:2" x14ac:dyDescent="0.35">
      <c r="A10" s="16" t="s">
        <v>575</v>
      </c>
      <c r="B10" s="25">
        <v>6862.3400000000011</v>
      </c>
    </row>
    <row r="11" spans="1:2" x14ac:dyDescent="0.35">
      <c r="A11" s="16" t="s">
        <v>576</v>
      </c>
      <c r="B11" s="25">
        <v>5393.3859999999986</v>
      </c>
    </row>
    <row r="12" spans="1:2" x14ac:dyDescent="0.35">
      <c r="A12" s="16" t="s">
        <v>580</v>
      </c>
      <c r="B12" s="25">
        <v>92713.527499999997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70769-DBB0-4E17-94A2-03EA5F51630F}">
  <dimension ref="A2:E15"/>
  <sheetViews>
    <sheetView zoomScaleNormal="100" workbookViewId="0">
      <selection activeCell="G25" sqref="G25"/>
    </sheetView>
  </sheetViews>
  <sheetFormatPr defaultRowHeight="14.5" x14ac:dyDescent="0.35"/>
  <cols>
    <col min="1" max="1" width="12.36328125" bestFit="1" customWidth="1"/>
    <col min="2" max="2" width="15.26953125" bestFit="1" customWidth="1"/>
    <col min="3" max="3" width="13.1796875" bestFit="1" customWidth="1"/>
    <col min="4" max="4" width="10.26953125" bestFit="1" customWidth="1"/>
    <col min="5" max="5" width="10.7265625" bestFit="1" customWidth="1"/>
    <col min="6" max="6" width="9.54296875" bestFit="1" customWidth="1"/>
    <col min="7" max="7" width="8.81640625" bestFit="1" customWidth="1"/>
    <col min="8" max="8" width="7.08984375" bestFit="1" customWidth="1"/>
    <col min="9" max="9" width="9.26953125" bestFit="1" customWidth="1"/>
    <col min="10" max="10" width="9.81640625" bestFit="1" customWidth="1"/>
    <col min="11" max="11" width="10.26953125" bestFit="1" customWidth="1"/>
    <col min="12" max="13" width="8.81640625" bestFit="1" customWidth="1"/>
    <col min="14" max="14" width="10.81640625" bestFit="1" customWidth="1"/>
    <col min="15" max="15" width="8.81640625" bestFit="1" customWidth="1"/>
    <col min="16" max="16" width="9.81640625" bestFit="1" customWidth="1"/>
    <col min="17" max="17" width="7.81640625" bestFit="1" customWidth="1"/>
    <col min="18" max="18" width="8.81640625" bestFit="1" customWidth="1"/>
    <col min="19" max="19" width="11.81640625" bestFit="1" customWidth="1"/>
  </cols>
  <sheetData>
    <row r="2" spans="1:5" x14ac:dyDescent="0.35">
      <c r="A2" s="15" t="s">
        <v>570</v>
      </c>
      <c r="B2" t="s">
        <v>575</v>
      </c>
    </row>
    <row r="4" spans="1:5" x14ac:dyDescent="0.35">
      <c r="A4" s="15" t="s">
        <v>581</v>
      </c>
      <c r="B4" s="15" t="s">
        <v>585</v>
      </c>
    </row>
    <row r="5" spans="1:5" x14ac:dyDescent="0.35">
      <c r="A5" s="15" t="s">
        <v>579</v>
      </c>
      <c r="B5" t="s">
        <v>544</v>
      </c>
      <c r="C5" t="s">
        <v>545</v>
      </c>
      <c r="D5" t="s">
        <v>546</v>
      </c>
      <c r="E5" t="s">
        <v>580</v>
      </c>
    </row>
    <row r="6" spans="1:5" x14ac:dyDescent="0.35">
      <c r="A6" s="16" t="s">
        <v>559</v>
      </c>
      <c r="B6" s="26"/>
      <c r="C6" s="26"/>
      <c r="D6" s="26">
        <v>341.77799999999996</v>
      </c>
      <c r="E6" s="26">
        <v>341.77799999999996</v>
      </c>
    </row>
    <row r="7" spans="1:5" x14ac:dyDescent="0.35">
      <c r="A7" s="16" t="s">
        <v>557</v>
      </c>
      <c r="B7" s="26"/>
      <c r="C7" s="26">
        <v>13</v>
      </c>
      <c r="D7" s="26"/>
      <c r="E7" s="26">
        <v>13</v>
      </c>
    </row>
    <row r="8" spans="1:5" x14ac:dyDescent="0.35">
      <c r="A8" s="16" t="s">
        <v>554</v>
      </c>
      <c r="B8" s="26"/>
      <c r="C8" s="26">
        <v>520.49800000000005</v>
      </c>
      <c r="D8" s="26"/>
      <c r="E8" s="26">
        <v>520.49800000000005</v>
      </c>
    </row>
    <row r="9" spans="1:5" x14ac:dyDescent="0.35">
      <c r="A9" s="16" t="s">
        <v>556</v>
      </c>
      <c r="B9" s="26"/>
      <c r="C9" s="26">
        <v>903.16200000000003</v>
      </c>
      <c r="D9" s="26"/>
      <c r="E9" s="26">
        <v>903.16200000000003</v>
      </c>
    </row>
    <row r="10" spans="1:5" x14ac:dyDescent="0.35">
      <c r="A10" s="16" t="s">
        <v>549</v>
      </c>
      <c r="B10" s="26">
        <v>23.2</v>
      </c>
      <c r="C10" s="26"/>
      <c r="D10" s="26"/>
      <c r="E10" s="26">
        <v>23.2</v>
      </c>
    </row>
    <row r="11" spans="1:5" x14ac:dyDescent="0.35">
      <c r="A11" s="16" t="s">
        <v>553</v>
      </c>
      <c r="B11" s="26">
        <v>30.376000000000005</v>
      </c>
      <c r="C11" s="26"/>
      <c r="D11" s="26"/>
      <c r="E11" s="26">
        <v>30.376000000000005</v>
      </c>
    </row>
    <row r="12" spans="1:5" x14ac:dyDescent="0.35">
      <c r="A12" s="16" t="s">
        <v>558</v>
      </c>
      <c r="B12" s="26"/>
      <c r="C12" s="26">
        <v>668.06400000000008</v>
      </c>
      <c r="D12" s="26"/>
      <c r="E12" s="26">
        <v>668.06400000000008</v>
      </c>
    </row>
    <row r="13" spans="1:5" x14ac:dyDescent="0.35">
      <c r="A13" s="16" t="s">
        <v>552</v>
      </c>
      <c r="B13" s="26"/>
      <c r="C13" s="26">
        <v>8.6899999999999977</v>
      </c>
      <c r="D13" s="26"/>
      <c r="E13" s="26">
        <v>8.6899999999999977</v>
      </c>
    </row>
    <row r="14" spans="1:5" x14ac:dyDescent="0.35">
      <c r="A14" s="16" t="s">
        <v>551</v>
      </c>
      <c r="B14" s="26">
        <v>205.67200000000003</v>
      </c>
      <c r="C14" s="26"/>
      <c r="D14" s="26"/>
      <c r="E14" s="26">
        <v>205.67200000000003</v>
      </c>
    </row>
    <row r="15" spans="1:5" x14ac:dyDescent="0.35">
      <c r="A15" s="16" t="s">
        <v>580</v>
      </c>
      <c r="B15" s="26">
        <v>259.24800000000005</v>
      </c>
      <c r="C15" s="26">
        <v>2113.4140000000002</v>
      </c>
      <c r="D15" s="26">
        <v>341.77799999999996</v>
      </c>
      <c r="E15" s="26">
        <v>2714.4400000000005</v>
      </c>
    </row>
  </sheetData>
  <conditionalFormatting sqref="B5">
    <cfRule type="dataBar" priority="1">
      <dataBar>
        <cfvo type="min"/>
        <cfvo type="max"/>
        <color rgb="FF638EC6"/>
      </dataBar>
      <extLst>
        <ext xmlns:x14="http://schemas.microsoft.com/office/spreadsheetml/2009/9/main" uri="{B025F937-C7B1-47D3-B67F-A62EFF666E3E}">
          <x14:id>{EC1FEC7A-001F-4961-9480-47C5134224D2}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EC1FEC7A-001F-4961-9480-47C5134224D2}">
            <x14:dataBar minLength="0" maxLength="100" border="1" negativeBarBorderColorSameAsPositive="0">
              <x14:cfvo type="autoMin"/>
              <x14:cfvo type="autoMax"/>
              <x14:borderColor rgb="FF638EC6"/>
              <x14:negativeFillColor rgb="FFFF0000"/>
              <x14:negativeBorderColor rgb="FFFF0000"/>
              <x14:axisColor rgb="FF000000"/>
            </x14:dataBar>
          </x14:cfRule>
          <xm:sqref>B5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004B3-72AA-4540-8F04-DF805C05ED4A}">
  <dimension ref="A3:B8"/>
  <sheetViews>
    <sheetView workbookViewId="0">
      <selection activeCell="B20" sqref="B20"/>
    </sheetView>
  </sheetViews>
  <sheetFormatPr defaultRowHeight="14.5" x14ac:dyDescent="0.35"/>
  <cols>
    <col min="1" max="1" width="12.36328125" bestFit="1" customWidth="1"/>
    <col min="2" max="2" width="11.26953125" bestFit="1" customWidth="1"/>
  </cols>
  <sheetData>
    <row r="3" spans="1:2" x14ac:dyDescent="0.35">
      <c r="A3" s="15" t="s">
        <v>579</v>
      </c>
      <c r="B3" t="s">
        <v>581</v>
      </c>
    </row>
    <row r="4" spans="1:2" x14ac:dyDescent="0.35">
      <c r="A4" s="16" t="s">
        <v>541</v>
      </c>
      <c r="B4" s="18">
        <v>0.38763451062943993</v>
      </c>
    </row>
    <row r="5" spans="1:2" x14ac:dyDescent="0.35">
      <c r="A5" s="16" t="s">
        <v>542</v>
      </c>
      <c r="B5" s="18">
        <v>0.23138704185896566</v>
      </c>
    </row>
    <row r="6" spans="1:2" x14ac:dyDescent="0.35">
      <c r="A6" s="16" t="s">
        <v>539</v>
      </c>
      <c r="B6" s="18">
        <v>0.1015606786916531</v>
      </c>
    </row>
    <row r="7" spans="1:2" x14ac:dyDescent="0.35">
      <c r="A7" s="16" t="s">
        <v>540</v>
      </c>
      <c r="B7" s="18">
        <v>0.27941776881994118</v>
      </c>
    </row>
    <row r="8" spans="1:2" x14ac:dyDescent="0.35">
      <c r="A8" s="16" t="s">
        <v>580</v>
      </c>
      <c r="B8" s="18">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D60D-9788-4145-BCAA-9522F4D24888}">
  <dimension ref="A1:D15"/>
  <sheetViews>
    <sheetView workbookViewId="0">
      <selection activeCell="G12" sqref="G12"/>
    </sheetView>
  </sheetViews>
  <sheetFormatPr defaultRowHeight="14.5" x14ac:dyDescent="0.35"/>
  <cols>
    <col min="1" max="1" width="12.36328125" bestFit="1" customWidth="1"/>
    <col min="2" max="2" width="16.453125" bestFit="1" customWidth="1"/>
    <col min="3" max="3" width="11.81640625" bestFit="1" customWidth="1"/>
    <col min="4" max="4" width="14.54296875" bestFit="1" customWidth="1"/>
  </cols>
  <sheetData>
    <row r="1" spans="1:4" x14ac:dyDescent="0.35">
      <c r="A1" s="15" t="s">
        <v>570</v>
      </c>
      <c r="B1" t="s">
        <v>572</v>
      </c>
    </row>
    <row r="3" spans="1:4" x14ac:dyDescent="0.35">
      <c r="A3" s="15" t="s">
        <v>579</v>
      </c>
      <c r="B3" t="s">
        <v>581</v>
      </c>
      <c r="C3" t="s">
        <v>583</v>
      </c>
    </row>
    <row r="4" spans="1:4" x14ac:dyDescent="0.35">
      <c r="A4" s="16" t="s">
        <v>541</v>
      </c>
      <c r="B4" s="17">
        <v>1783.682</v>
      </c>
      <c r="C4" s="24">
        <v>1101.5439999999999</v>
      </c>
    </row>
    <row r="5" spans="1:4" x14ac:dyDescent="0.35">
      <c r="A5" s="16" t="s">
        <v>542</v>
      </c>
      <c r="B5" s="17">
        <v>3659.259</v>
      </c>
      <c r="C5" s="24">
        <v>5372.4640000000018</v>
      </c>
    </row>
    <row r="6" spans="1:4" x14ac:dyDescent="0.35">
      <c r="A6" s="16" t="s">
        <v>539</v>
      </c>
      <c r="B6" s="17">
        <v>2452.5080000000003</v>
      </c>
      <c r="C6" s="24">
        <v>419.09</v>
      </c>
    </row>
    <row r="7" spans="1:4" x14ac:dyDescent="0.35">
      <c r="A7" s="16" t="s">
        <v>540</v>
      </c>
      <c r="B7" s="17">
        <v>3521.1370000000002</v>
      </c>
      <c r="C7" s="24">
        <v>2033.61</v>
      </c>
    </row>
    <row r="8" spans="1:4" x14ac:dyDescent="0.35">
      <c r="A8" s="16" t="s">
        <v>580</v>
      </c>
      <c r="B8" s="17">
        <v>11416.586000000001</v>
      </c>
      <c r="C8" s="24">
        <v>8926.7080000000024</v>
      </c>
    </row>
    <row r="15" spans="1:4" x14ac:dyDescent="0.35">
      <c r="D15" t="s">
        <v>588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CEE4-D361-43E8-85F6-2007BA35AE73}">
  <dimension ref="A3:B12"/>
  <sheetViews>
    <sheetView workbookViewId="0">
      <selection activeCell="B4" sqref="B4"/>
    </sheetView>
  </sheetViews>
  <sheetFormatPr defaultRowHeight="14.5" x14ac:dyDescent="0.35"/>
  <cols>
    <col min="1" max="1" width="16.1796875" bestFit="1" customWidth="1"/>
    <col min="2" max="2" width="16.08984375" bestFit="1" customWidth="1"/>
    <col min="3" max="3" width="14.26953125" bestFit="1" customWidth="1"/>
    <col min="4" max="4" width="12.81640625" customWidth="1"/>
    <col min="5" max="5" width="7.08984375" bestFit="1" customWidth="1"/>
    <col min="6" max="6" width="9.54296875" bestFit="1" customWidth="1"/>
    <col min="7" max="7" width="6" bestFit="1" customWidth="1"/>
    <col min="8" max="8" width="7.08984375" bestFit="1" customWidth="1"/>
    <col min="9" max="9" width="9.26953125" bestFit="1" customWidth="1"/>
    <col min="10" max="10" width="8.90625" bestFit="1" customWidth="1"/>
    <col min="11" max="11" width="10.26953125" bestFit="1" customWidth="1"/>
    <col min="12" max="12" width="6" bestFit="1" customWidth="1"/>
    <col min="13" max="13" width="8.81640625" bestFit="1" customWidth="1"/>
    <col min="14" max="14" width="5.7265625" bestFit="1" customWidth="1"/>
    <col min="15" max="15" width="7" bestFit="1" customWidth="1"/>
    <col min="16" max="16" width="7.1796875" bestFit="1" customWidth="1"/>
    <col min="17" max="17" width="7.7265625" bestFit="1" customWidth="1"/>
    <col min="18" max="18" width="6.1796875" bestFit="1" customWidth="1"/>
    <col min="19" max="19" width="10.7265625" bestFit="1" customWidth="1"/>
  </cols>
  <sheetData>
    <row r="3" spans="1:2" x14ac:dyDescent="0.35">
      <c r="A3" s="15" t="s">
        <v>579</v>
      </c>
      <c r="B3" t="s">
        <v>586</v>
      </c>
    </row>
    <row r="4" spans="1:2" x14ac:dyDescent="0.35">
      <c r="A4" s="16" t="s">
        <v>575</v>
      </c>
      <c r="B4" s="18">
        <v>6.7500000000000004E-2</v>
      </c>
    </row>
    <row r="5" spans="1:2" x14ac:dyDescent="0.35">
      <c r="A5" s="16" t="s">
        <v>573</v>
      </c>
      <c r="B5" s="18">
        <v>0.2</v>
      </c>
    </row>
    <row r="6" spans="1:2" x14ac:dyDescent="0.35">
      <c r="A6" s="16" t="s">
        <v>577</v>
      </c>
      <c r="B6" s="18">
        <v>6.7500000000000004E-2</v>
      </c>
    </row>
    <row r="7" spans="1:2" x14ac:dyDescent="0.35">
      <c r="A7" s="16" t="s">
        <v>574</v>
      </c>
      <c r="B7" s="18">
        <v>6.7500000000000004E-2</v>
      </c>
    </row>
    <row r="8" spans="1:2" x14ac:dyDescent="0.35">
      <c r="A8" s="16" t="s">
        <v>578</v>
      </c>
      <c r="B8" s="18">
        <v>6.5000000000000002E-2</v>
      </c>
    </row>
    <row r="9" spans="1:2" x14ac:dyDescent="0.35">
      <c r="A9" s="16" t="s">
        <v>576</v>
      </c>
      <c r="B9" s="18">
        <v>6.7500000000000004E-2</v>
      </c>
    </row>
    <row r="10" spans="1:2" x14ac:dyDescent="0.35">
      <c r="A10" s="16" t="s">
        <v>572</v>
      </c>
      <c r="B10" s="18">
        <v>0.13250000000000001</v>
      </c>
    </row>
    <row r="11" spans="1:2" x14ac:dyDescent="0.35">
      <c r="A11" s="16" t="s">
        <v>571</v>
      </c>
      <c r="B11" s="18">
        <v>0.33250000000000002</v>
      </c>
    </row>
    <row r="12" spans="1:2" x14ac:dyDescent="0.35">
      <c r="A12" s="16" t="s">
        <v>580</v>
      </c>
      <c r="B12" s="18">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FC5F-56B2-43E2-99B6-18DB8364EDB0}">
  <dimension ref="A1"/>
  <sheetViews>
    <sheetView zoomScale="38" zoomScaleNormal="38" workbookViewId="0">
      <selection activeCell="AT32" sqref="AT3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q</vt:lpstr>
      <vt:lpstr>q1</vt:lpstr>
      <vt:lpstr>q2 dashboard</vt:lpstr>
      <vt:lpstr>q3</vt:lpstr>
      <vt:lpstr>q4</vt:lpstr>
      <vt:lpstr>q5</vt:lpstr>
      <vt:lpstr>q6</vt:lpstr>
      <vt:lpstr>q7</vt:lpstr>
      <vt:lpstr>q8</vt:lpstr>
      <vt:lpstr>q9</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008TU ( 866J )</dc:creator>
  <cp:lastModifiedBy>008TU ( 866J )</cp:lastModifiedBy>
  <dcterms:created xsi:type="dcterms:W3CDTF">2022-02-16T15:12:53Z</dcterms:created>
  <dcterms:modified xsi:type="dcterms:W3CDTF">2022-02-27T04:49:22Z</dcterms:modified>
</cp:coreProperties>
</file>